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debayan_nag_pwc_com/Documents/Downloads/"/>
    </mc:Choice>
  </mc:AlternateContent>
  <xr:revisionPtr revIDLastSave="0" documentId="8_{FA85FD64-021F-4636-ACCE-8EA65A14B59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mpanies" sheetId="1" r:id="rId1"/>
    <sheet name="Raw_Financials" sheetId="2" r:id="rId2"/>
    <sheet name="Raw_ESG" sheetId="3" r:id="rId3"/>
    <sheet name="Calculated_Metric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4" l="1" a="1"/>
  <c r="C75" i="4" s="1"/>
  <c r="N74" i="4" a="1"/>
  <c r="N74" i="4" s="1"/>
  <c r="M74" i="4" a="1"/>
  <c r="M74" i="4"/>
  <c r="L74" i="4" a="1"/>
  <c r="L74" i="4" s="1"/>
  <c r="K74" i="4" a="1"/>
  <c r="K74" i="4" s="1"/>
  <c r="J74" i="4" a="1"/>
  <c r="J74" i="4" s="1"/>
  <c r="I74" i="4" a="1"/>
  <c r="I74" i="4" s="1"/>
  <c r="H74" i="4" a="1"/>
  <c r="H74" i="4" s="1"/>
  <c r="G74" i="4" a="1"/>
  <c r="G74" i="4" s="1"/>
  <c r="F74" i="4" a="1"/>
  <c r="F74" i="4" s="1"/>
  <c r="E74" i="4" a="1"/>
  <c r="E74" i="4" s="1"/>
  <c r="D74" i="4" a="1"/>
  <c r="D74" i="4" s="1"/>
  <c r="N73" i="4" a="1"/>
  <c r="N73" i="4"/>
  <c r="M73" i="4" a="1"/>
  <c r="M73" i="4" s="1"/>
  <c r="L73" i="4" a="1"/>
  <c r="L73" i="4" s="1"/>
  <c r="K73" i="4" a="1"/>
  <c r="K73" i="4" s="1"/>
  <c r="J73" i="4" a="1"/>
  <c r="J73" i="4" s="1"/>
  <c r="I73" i="4" a="1"/>
  <c r="I73" i="4" s="1"/>
  <c r="H73" i="4" a="1"/>
  <c r="H73" i="4" s="1"/>
  <c r="G73" i="4" a="1"/>
  <c r="G73" i="4" s="1"/>
  <c r="F73" i="4" a="1"/>
  <c r="F73" i="4" s="1"/>
  <c r="E73" i="4" a="1"/>
  <c r="E73" i="4" s="1"/>
  <c r="D73" i="4" a="1"/>
  <c r="D73" i="4" s="1"/>
  <c r="N72" i="4" a="1"/>
  <c r="N72" i="4" s="1"/>
  <c r="M72" i="4" a="1"/>
  <c r="M72" i="4"/>
  <c r="L72" i="4" a="1"/>
  <c r="L72" i="4" s="1"/>
  <c r="K72" i="4" a="1"/>
  <c r="K72" i="4" s="1"/>
  <c r="J72" i="4" a="1"/>
  <c r="J72" i="4" s="1"/>
  <c r="I72" i="4" a="1"/>
  <c r="I72" i="4" s="1"/>
  <c r="H72" i="4" a="1"/>
  <c r="H72" i="4" s="1"/>
  <c r="G72" i="4" a="1"/>
  <c r="G72" i="4" s="1"/>
  <c r="F72" i="4" a="1"/>
  <c r="F72" i="4" s="1"/>
  <c r="E72" i="4" a="1"/>
  <c r="E72" i="4" s="1"/>
  <c r="D72" i="4" a="1"/>
  <c r="D72" i="4" s="1"/>
  <c r="N71" i="4" a="1"/>
  <c r="N71" i="4" s="1"/>
  <c r="M71" i="4" a="1"/>
  <c r="M71" i="4" s="1"/>
  <c r="L71" i="4" a="1"/>
  <c r="L71" i="4" s="1"/>
  <c r="K71" i="4" a="1"/>
  <c r="K71" i="4" s="1"/>
  <c r="J71" i="4" a="1"/>
  <c r="J71" i="4" s="1"/>
  <c r="I71" i="4" a="1"/>
  <c r="I71" i="4" s="1"/>
  <c r="H71" i="4" a="1"/>
  <c r="H71" i="4" s="1"/>
  <c r="G71" i="4" a="1"/>
  <c r="G71" i="4" s="1"/>
  <c r="F71" i="4" a="1"/>
  <c r="F71" i="4" s="1"/>
  <c r="E71" i="4" a="1"/>
  <c r="E71" i="4" s="1"/>
  <c r="D71" i="4" a="1"/>
  <c r="D71" i="4" s="1"/>
  <c r="N75" i="4" a="1"/>
  <c r="N75" i="4" s="1"/>
  <c r="M75" i="4" a="1"/>
  <c r="M75" i="4" s="1"/>
  <c r="L75" i="4" a="1"/>
  <c r="L75" i="4" s="1"/>
  <c r="K75" i="4" a="1"/>
  <c r="K75" i="4" s="1"/>
  <c r="J75" i="4" a="1"/>
  <c r="J75" i="4" s="1"/>
  <c r="I75" i="4" a="1"/>
  <c r="I75" i="4" s="1"/>
  <c r="H75" i="4" a="1"/>
  <c r="H75" i="4" s="1"/>
  <c r="G75" i="4" a="1"/>
  <c r="G75" i="4" s="1"/>
  <c r="F75" i="4" a="1"/>
  <c r="F75" i="4" s="1"/>
  <c r="E75" i="4" a="1"/>
  <c r="E75" i="4" s="1"/>
  <c r="D75" i="4" a="1"/>
  <c r="D75" i="4" s="1"/>
  <c r="N70" i="4" a="1"/>
  <c r="N70" i="4" s="1"/>
  <c r="M70" i="4" a="1"/>
  <c r="M70" i="4" s="1"/>
  <c r="L70" i="4" a="1"/>
  <c r="L70" i="4" s="1"/>
  <c r="K70" i="4" a="1"/>
  <c r="K70" i="4" s="1"/>
  <c r="J70" i="4" a="1"/>
  <c r="J70" i="4" s="1"/>
  <c r="I70" i="4" a="1"/>
  <c r="I70" i="4" s="1"/>
  <c r="H70" i="4" a="1"/>
  <c r="H70" i="4" s="1"/>
  <c r="G70" i="4" a="1"/>
  <c r="G70" i="4" s="1"/>
  <c r="F70" i="4" a="1"/>
  <c r="F70" i="4" s="1"/>
  <c r="E70" i="4" a="1"/>
  <c r="E70" i="4" s="1"/>
  <c r="D70" i="4" a="1"/>
  <c r="D70" i="4" s="1"/>
  <c r="N69" i="4" a="1"/>
  <c r="N69" i="4" s="1"/>
  <c r="M69" i="4" a="1"/>
  <c r="M69" i="4"/>
  <c r="L69" i="4" a="1"/>
  <c r="L69" i="4" s="1"/>
  <c r="K69" i="4" a="1"/>
  <c r="K69" i="4" s="1"/>
  <c r="J69" i="4" a="1"/>
  <c r="J69" i="4" s="1"/>
  <c r="I69" i="4" a="1"/>
  <c r="I69" i="4" s="1"/>
  <c r="H69" i="4" a="1"/>
  <c r="H69" i="4" s="1"/>
  <c r="G69" i="4" a="1"/>
  <c r="G69" i="4" s="1"/>
  <c r="F69" i="4" a="1"/>
  <c r="F69" i="4" s="1"/>
  <c r="E69" i="4" a="1"/>
  <c r="E69" i="4" s="1"/>
  <c r="D69" i="4" a="1"/>
  <c r="D69" i="4" s="1"/>
  <c r="N68" i="4" a="1"/>
  <c r="N68" i="4" s="1"/>
  <c r="M68" i="4" a="1"/>
  <c r="M68" i="4"/>
  <c r="L68" i="4" a="1"/>
  <c r="L68" i="4" s="1"/>
  <c r="K68" i="4" a="1"/>
  <c r="K68" i="4" s="1"/>
  <c r="J67" i="4" a="1"/>
  <c r="J67" i="4" s="1"/>
  <c r="J68" i="4" a="1"/>
  <c r="J68" i="4" s="1"/>
  <c r="I68" i="4" a="1"/>
  <c r="I68" i="4" s="1"/>
  <c r="H68" i="4" a="1"/>
  <c r="H68" i="4" s="1"/>
  <c r="G68" i="4" a="1"/>
  <c r="G68" i="4" s="1"/>
  <c r="F68" i="4" a="1"/>
  <c r="F68" i="4" s="1"/>
  <c r="E68" i="4" a="1"/>
  <c r="E68" i="4" s="1"/>
  <c r="D68" i="4" a="1"/>
  <c r="D68" i="4" s="1"/>
  <c r="N67" i="4" a="1"/>
  <c r="N67" i="4"/>
  <c r="M67" i="4" a="1"/>
  <c r="M67" i="4" s="1"/>
  <c r="L67" i="4" a="1"/>
  <c r="L67" i="4" s="1"/>
  <c r="K67" i="4" a="1"/>
  <c r="K67" i="4" s="1"/>
  <c r="I67" i="4" a="1"/>
  <c r="I67" i="4" s="1"/>
  <c r="H67" i="4" a="1"/>
  <c r="H67" i="4" s="1"/>
  <c r="G67" i="4" a="1"/>
  <c r="G67" i="4" s="1"/>
  <c r="F67" i="4" a="1"/>
  <c r="F67" i="4" s="1"/>
  <c r="E67" i="4" a="1"/>
  <c r="E67" i="4" s="1"/>
  <c r="D67" i="4" a="1"/>
  <c r="D67" i="4" s="1"/>
  <c r="N66" i="4" a="1"/>
  <c r="N66" i="4"/>
  <c r="M66" i="4" a="1"/>
  <c r="M66" i="4" s="1"/>
  <c r="L66" i="4" a="1"/>
  <c r="L66" i="4" s="1"/>
  <c r="K66" i="4" a="1"/>
  <c r="K66" i="4" s="1"/>
  <c r="J66" i="4" a="1"/>
  <c r="J66" i="4" s="1"/>
  <c r="I66" i="4" a="1"/>
  <c r="I66" i="4" s="1"/>
  <c r="H66" i="4" a="1"/>
  <c r="H66" i="4" s="1"/>
  <c r="G66" i="4" a="1"/>
  <c r="G66" i="4" s="1"/>
  <c r="F66" i="4" a="1"/>
  <c r="F66" i="4" s="1"/>
  <c r="E66" i="4" a="1"/>
  <c r="E66" i="4" s="1"/>
  <c r="D66" i="4" a="1"/>
  <c r="D66" i="4" s="1"/>
  <c r="N65" i="4" a="1"/>
  <c r="N65" i="4"/>
  <c r="M65" i="4" a="1"/>
  <c r="M65" i="4" s="1"/>
  <c r="L65" i="4" a="1"/>
  <c r="L65" i="4" s="1"/>
  <c r="K65" i="4" a="1"/>
  <c r="K65" i="4" s="1"/>
  <c r="J65" i="4" a="1"/>
  <c r="J65" i="4"/>
  <c r="I65" i="4" a="1"/>
  <c r="I65" i="4" s="1"/>
  <c r="H65" i="4" a="1"/>
  <c r="H65" i="4" s="1"/>
  <c r="G65" i="4" a="1"/>
  <c r="G65" i="4" s="1"/>
  <c r="F65" i="4" a="1"/>
  <c r="F65" i="4" s="1"/>
  <c r="E65" i="4" a="1"/>
  <c r="E65" i="4" s="1"/>
  <c r="D65" i="4" a="1"/>
  <c r="D65" i="4" s="1"/>
  <c r="N64" i="4" a="1"/>
  <c r="N64" i="4" s="1"/>
  <c r="M64" i="4" a="1"/>
  <c r="M64" i="4"/>
  <c r="L64" i="4" a="1"/>
  <c r="L64" i="4" s="1"/>
  <c r="K64" i="4" a="1"/>
  <c r="K64" i="4" s="1"/>
  <c r="J64" i="4" a="1"/>
  <c r="J64" i="4" s="1"/>
  <c r="I64" i="4" a="1"/>
  <c r="I64" i="4" s="1"/>
  <c r="H64" i="4" a="1"/>
  <c r="H64" i="4" s="1"/>
  <c r="G64" i="4" a="1"/>
  <c r="G64" i="4" s="1"/>
  <c r="F64" i="4" a="1"/>
  <c r="F64" i="4" s="1"/>
  <c r="E64" i="4" a="1"/>
  <c r="E64" i="4" s="1"/>
  <c r="D64" i="4" a="1"/>
  <c r="D64" i="4" s="1"/>
  <c r="N63" i="4" a="1"/>
  <c r="N63" i="4" s="1"/>
  <c r="M63" i="4" a="1"/>
  <c r="M63" i="4" s="1"/>
  <c r="L63" i="4" a="1"/>
  <c r="L63" i="4" s="1"/>
  <c r="K63" i="4" a="1"/>
  <c r="K63" i="4" s="1"/>
  <c r="J63" i="4" a="1"/>
  <c r="J63" i="4" s="1"/>
  <c r="I63" i="4" a="1"/>
  <c r="I63" i="4" s="1"/>
  <c r="H63" i="4" a="1"/>
  <c r="H63" i="4" s="1"/>
  <c r="G63" i="4" a="1"/>
  <c r="G63" i="4" s="1"/>
  <c r="F63" i="4" a="1"/>
  <c r="F63" i="4" s="1"/>
  <c r="E63" i="4" a="1"/>
  <c r="E63" i="4" s="1"/>
  <c r="D63" i="4" a="1"/>
  <c r="D63" i="4" s="1"/>
  <c r="N62" i="4" a="1"/>
  <c r="N62" i="4" s="1"/>
  <c r="M62" i="4" a="1"/>
  <c r="M62" i="4"/>
  <c r="L62" i="4" a="1"/>
  <c r="L62" i="4" s="1"/>
  <c r="K62" i="4" a="1"/>
  <c r="K62" i="4" s="1"/>
  <c r="J62" i="4" a="1"/>
  <c r="J62" i="4" s="1"/>
  <c r="I62" i="4" a="1"/>
  <c r="I62" i="4" s="1"/>
  <c r="H62" i="4" a="1"/>
  <c r="H62" i="4" s="1"/>
  <c r="G62" i="4" a="1"/>
  <c r="G62" i="4" s="1"/>
  <c r="F62" i="4" a="1"/>
  <c r="F62" i="4" s="1"/>
  <c r="E62" i="4" a="1"/>
  <c r="E62" i="4" s="1"/>
  <c r="D62" i="4" a="1"/>
  <c r="D62" i="4" s="1"/>
  <c r="N61" i="4" a="1"/>
  <c r="N61" i="4"/>
  <c r="M61" i="4" a="1"/>
  <c r="M61" i="4"/>
  <c r="L61" i="4" a="1"/>
  <c r="L61" i="4" s="1"/>
  <c r="K61" i="4" a="1"/>
  <c r="K61" i="4" s="1"/>
  <c r="J61" i="4" a="1"/>
  <c r="J61" i="4" s="1"/>
  <c r="I61" i="4" a="1"/>
  <c r="I61" i="4" s="1"/>
  <c r="H61" i="4" a="1"/>
  <c r="H61" i="4" s="1"/>
  <c r="G61" i="4" a="1"/>
  <c r="G61" i="4" s="1"/>
  <c r="F61" i="4" a="1"/>
  <c r="F61" i="4" s="1"/>
  <c r="E61" i="4" a="1"/>
  <c r="E61" i="4" s="1"/>
  <c r="D61" i="4" a="1"/>
  <c r="D61" i="4" s="1"/>
  <c r="N60" i="4" a="1"/>
  <c r="N60" i="4" s="1"/>
  <c r="M60" i="4" a="1"/>
  <c r="M60" i="4"/>
  <c r="L60" i="4" a="1"/>
  <c r="L60" i="4" s="1"/>
  <c r="K60" i="4" a="1"/>
  <c r="K60" i="4" s="1"/>
  <c r="J60" i="4" a="1"/>
  <c r="J60" i="4" s="1"/>
  <c r="I60" i="4" a="1"/>
  <c r="I60" i="4" s="1"/>
  <c r="H60" i="4" a="1"/>
  <c r="H60" i="4" s="1"/>
  <c r="G60" i="4" a="1"/>
  <c r="G60" i="4" s="1"/>
  <c r="F60" i="4" a="1"/>
  <c r="F60" i="4" s="1"/>
  <c r="E60" i="4" a="1"/>
  <c r="E60" i="4" s="1"/>
  <c r="D60" i="4" a="1"/>
  <c r="D60" i="4" s="1"/>
  <c r="N59" i="4" a="1"/>
  <c r="N59" i="4" s="1"/>
  <c r="M59" i="4" a="1"/>
  <c r="M59" i="4" s="1"/>
  <c r="L59" i="4" a="1"/>
  <c r="L59" i="4" s="1"/>
  <c r="K59" i="4" a="1"/>
  <c r="K59" i="4" s="1"/>
  <c r="J59" i="4" a="1"/>
  <c r="J59" i="4" s="1"/>
  <c r="I59" i="4" a="1"/>
  <c r="I59" i="4" s="1"/>
  <c r="H59" i="4" a="1"/>
  <c r="H59" i="4" s="1"/>
  <c r="G59" i="4" a="1"/>
  <c r="G59" i="4" s="1"/>
  <c r="F59" i="4" a="1"/>
  <c r="F59" i="4" s="1"/>
  <c r="E59" i="4" a="1"/>
  <c r="E59" i="4" s="1"/>
  <c r="D59" i="4" a="1"/>
  <c r="D59" i="4" s="1"/>
  <c r="N58" i="4" a="1"/>
  <c r="N58" i="4"/>
  <c r="M58" i="4" a="1"/>
  <c r="M58" i="4" s="1"/>
  <c r="L58" i="4" a="1"/>
  <c r="L58" i="4" s="1"/>
  <c r="K58" i="4" a="1"/>
  <c r="K58" i="4" s="1"/>
  <c r="J58" i="4" a="1"/>
  <c r="J58" i="4" s="1"/>
  <c r="I58" i="4" a="1"/>
  <c r="I58" i="4" s="1"/>
  <c r="H58" i="4" a="1"/>
  <c r="H58" i="4" s="1"/>
  <c r="G58" i="4" a="1"/>
  <c r="G58" i="4" s="1"/>
  <c r="F58" i="4" a="1"/>
  <c r="F58" i="4" s="1"/>
  <c r="E58" i="4" a="1"/>
  <c r="E58" i="4" s="1"/>
  <c r="D58" i="4" a="1"/>
  <c r="D58" i="4" s="1"/>
  <c r="N57" i="4" a="1"/>
  <c r="N57" i="4"/>
  <c r="M57" i="4" a="1"/>
  <c r="M57" i="4" s="1"/>
  <c r="L57" i="4" a="1"/>
  <c r="L57" i="4" s="1"/>
  <c r="K57" i="4" a="1"/>
  <c r="K57" i="4" s="1"/>
  <c r="J57" i="4" a="1"/>
  <c r="J57" i="4" s="1"/>
  <c r="I57" i="4" a="1"/>
  <c r="I57" i="4" s="1"/>
  <c r="H57" i="4" a="1"/>
  <c r="H57" i="4" s="1"/>
  <c r="G57" i="4" a="1"/>
  <c r="G57" i="4" s="1"/>
  <c r="F57" i="4" a="1"/>
  <c r="F57" i="4" s="1"/>
  <c r="E57" i="4" a="1"/>
  <c r="E57" i="4" s="1"/>
  <c r="D57" i="4" a="1"/>
  <c r="D57" i="4" s="1"/>
  <c r="N56" i="4" a="1"/>
  <c r="N56" i="4" s="1"/>
  <c r="M56" i="4" a="1"/>
  <c r="M56" i="4" s="1"/>
  <c r="L56" i="4" a="1"/>
  <c r="L56" i="4" s="1"/>
  <c r="K56" i="4" a="1"/>
  <c r="K56" i="4" s="1"/>
  <c r="J56" i="4" a="1"/>
  <c r="J56" i="4" s="1"/>
  <c r="I56" i="4" a="1"/>
  <c r="I56" i="4" s="1"/>
  <c r="H56" i="4" a="1"/>
  <c r="H56" i="4" s="1"/>
  <c r="G56" i="4" a="1"/>
  <c r="G56" i="4" s="1"/>
  <c r="F56" i="4" a="1"/>
  <c r="F56" i="4" s="1"/>
  <c r="E56" i="4" a="1"/>
  <c r="E56" i="4" s="1"/>
  <c r="D56" i="4" a="1"/>
  <c r="D56" i="4" s="1"/>
  <c r="N55" i="4" a="1"/>
  <c r="N55" i="4"/>
  <c r="M55" i="4" a="1"/>
  <c r="M55" i="4" s="1"/>
  <c r="L55" i="4" a="1"/>
  <c r="L55" i="4" s="1"/>
  <c r="K55" i="4" a="1"/>
  <c r="K55" i="4" s="1"/>
  <c r="J55" i="4" a="1"/>
  <c r="J55" i="4" s="1"/>
  <c r="I55" i="4" a="1"/>
  <c r="I55" i="4" s="1"/>
  <c r="H55" i="4" a="1"/>
  <c r="H55" i="4" s="1"/>
  <c r="G55" i="4" a="1"/>
  <c r="G55" i="4" s="1"/>
  <c r="F55" i="4" a="1"/>
  <c r="F55" i="4" s="1"/>
  <c r="E55" i="4" a="1"/>
  <c r="E55" i="4" s="1"/>
  <c r="D55" i="4" a="1"/>
  <c r="D55" i="4" s="1"/>
  <c r="N54" i="4" a="1"/>
  <c r="N54" i="4" s="1"/>
  <c r="M54" i="4" a="1"/>
  <c r="M54" i="4" s="1"/>
  <c r="L54" i="4" a="1"/>
  <c r="L54" i="4" s="1"/>
  <c r="K54" i="4" a="1"/>
  <c r="K54" i="4" s="1"/>
  <c r="J54" i="4" a="1"/>
  <c r="J54" i="4" s="1"/>
  <c r="I54" i="4" a="1"/>
  <c r="I54" i="4" s="1"/>
  <c r="H54" i="4" a="1"/>
  <c r="H54" i="4" s="1"/>
  <c r="G54" i="4" a="1"/>
  <c r="G54" i="4" s="1"/>
  <c r="F54" i="4" a="1"/>
  <c r="F54" i="4" s="1"/>
  <c r="E54" i="4" a="1"/>
  <c r="E54" i="4" s="1"/>
  <c r="D54" i="4" a="1"/>
  <c r="D54" i="4" s="1"/>
  <c r="N53" i="4" a="1"/>
  <c r="N53" i="4" s="1"/>
  <c r="M53" i="4" a="1"/>
  <c r="M53" i="4" s="1"/>
  <c r="L53" i="4" a="1"/>
  <c r="L53" i="4" s="1"/>
  <c r="K53" i="4" a="1"/>
  <c r="K53" i="4" s="1"/>
  <c r="J53" i="4" a="1"/>
  <c r="J53" i="4" s="1"/>
  <c r="I53" i="4" a="1"/>
  <c r="I53" i="4" s="1"/>
  <c r="H53" i="4" a="1"/>
  <c r="H53" i="4" s="1"/>
  <c r="G53" i="4" a="1"/>
  <c r="G53" i="4" s="1"/>
  <c r="F53" i="4" a="1"/>
  <c r="F53" i="4" s="1"/>
  <c r="E53" i="4" a="1"/>
  <c r="E53" i="4" s="1"/>
  <c r="D53" i="4" a="1"/>
  <c r="D53" i="4" s="1"/>
  <c r="N52" i="4" a="1"/>
  <c r="N52" i="4" s="1"/>
  <c r="M52" i="4" a="1"/>
  <c r="M52" i="4"/>
  <c r="L52" i="4" a="1"/>
  <c r="L52" i="4" s="1"/>
  <c r="K52" i="4" a="1"/>
  <c r="K52" i="4" s="1"/>
  <c r="J52" i="4" a="1"/>
  <c r="J52" i="4" s="1"/>
  <c r="I52" i="4" a="1"/>
  <c r="I52" i="4" s="1"/>
  <c r="H52" i="4" a="1"/>
  <c r="H52" i="4" s="1"/>
  <c r="G52" i="4" a="1"/>
  <c r="G52" i="4" s="1"/>
  <c r="F52" i="4" a="1"/>
  <c r="F52" i="4" s="1"/>
  <c r="E52" i="4" a="1"/>
  <c r="E52" i="4" s="1"/>
  <c r="D52" i="4" a="1"/>
  <c r="D52" i="4" s="1"/>
  <c r="N51" i="4" a="1"/>
  <c r="N51" i="4"/>
  <c r="M51" i="4" a="1"/>
  <c r="M51" i="4" s="1"/>
  <c r="L51" i="4" a="1"/>
  <c r="L51" i="4" s="1"/>
  <c r="K51" i="4" a="1"/>
  <c r="K51" i="4" s="1"/>
  <c r="J51" i="4" a="1"/>
  <c r="J51" i="4"/>
  <c r="I51" i="4" a="1"/>
  <c r="I51" i="4" s="1"/>
  <c r="H51" i="4" a="1"/>
  <c r="H51" i="4" s="1"/>
  <c r="G51" i="4" a="1"/>
  <c r="G51" i="4" s="1"/>
  <c r="F51" i="4" a="1"/>
  <c r="F51" i="4" s="1"/>
  <c r="E51" i="4" a="1"/>
  <c r="E51" i="4" s="1"/>
  <c r="D51" i="4" a="1"/>
  <c r="D51" i="4" s="1"/>
  <c r="N50" i="4" a="1"/>
  <c r="N50" i="4" s="1"/>
  <c r="M50" i="4" a="1"/>
  <c r="M50" i="4" s="1"/>
  <c r="L50" i="4" a="1"/>
  <c r="L50" i="4" s="1"/>
  <c r="K50" i="4" a="1"/>
  <c r="K50" i="4" s="1"/>
  <c r="J50" i="4" a="1"/>
  <c r="J50" i="4" s="1"/>
  <c r="I50" i="4" a="1"/>
  <c r="I50" i="4" s="1"/>
  <c r="H50" i="4" a="1"/>
  <c r="H50" i="4" s="1"/>
  <c r="G50" i="4" a="1"/>
  <c r="G50" i="4" s="1"/>
  <c r="F50" i="4" a="1"/>
  <c r="F50" i="4" s="1"/>
  <c r="E50" i="4" a="1"/>
  <c r="E50" i="4" s="1"/>
  <c r="D50" i="4" a="1"/>
  <c r="D50" i="4" s="1"/>
  <c r="N49" i="4" a="1"/>
  <c r="N49" i="4" s="1"/>
  <c r="M49" i="4" a="1"/>
  <c r="M49" i="4" s="1"/>
  <c r="L49" i="4" a="1"/>
  <c r="L49" i="4" s="1"/>
  <c r="K49" i="4" a="1"/>
  <c r="K49" i="4" s="1"/>
  <c r="J49" i="4" a="1"/>
  <c r="J49" i="4" s="1"/>
  <c r="I49" i="4" a="1"/>
  <c r="I49" i="4" s="1"/>
  <c r="H49" i="4" a="1"/>
  <c r="H49" i="4" s="1"/>
  <c r="G49" i="4" a="1"/>
  <c r="G49" i="4" s="1"/>
  <c r="F49" i="4" a="1"/>
  <c r="F49" i="4" s="1"/>
  <c r="E49" i="4" a="1"/>
  <c r="E49" i="4" s="1"/>
  <c r="D49" i="4" a="1"/>
  <c r="D49" i="4" s="1"/>
  <c r="N48" i="4" a="1"/>
  <c r="N48" i="4" s="1"/>
  <c r="M48" i="4" a="1"/>
  <c r="M48" i="4" s="1"/>
  <c r="L48" i="4" a="1"/>
  <c r="L48" i="4" s="1"/>
  <c r="K48" i="4" a="1"/>
  <c r="K48" i="4" s="1"/>
  <c r="J48" i="4" a="1"/>
  <c r="J48" i="4" s="1"/>
  <c r="I48" i="4" a="1"/>
  <c r="I48" i="4" s="1"/>
  <c r="H48" i="4" a="1"/>
  <c r="H48" i="4" s="1"/>
  <c r="G48" i="4" a="1"/>
  <c r="G48" i="4" s="1"/>
  <c r="F48" i="4" a="1"/>
  <c r="F48" i="4" s="1"/>
  <c r="E48" i="4" a="1"/>
  <c r="E48" i="4" s="1"/>
  <c r="D48" i="4" a="1"/>
  <c r="D48" i="4" s="1"/>
  <c r="N47" i="4" a="1"/>
  <c r="N47" i="4" s="1"/>
  <c r="M47" i="4" a="1"/>
  <c r="M47" i="4" s="1"/>
  <c r="L47" i="4" a="1"/>
  <c r="L47" i="4" s="1"/>
  <c r="K47" i="4" a="1"/>
  <c r="K47" i="4" s="1"/>
  <c r="J47" i="4" a="1"/>
  <c r="J47" i="4" s="1"/>
  <c r="I47" i="4" a="1"/>
  <c r="I47" i="4" s="1"/>
  <c r="H47" i="4" a="1"/>
  <c r="H47" i="4" s="1"/>
  <c r="G47" i="4" a="1"/>
  <c r="G47" i="4" s="1"/>
  <c r="F47" i="4" a="1"/>
  <c r="F47" i="4" s="1"/>
  <c r="E47" i="4" a="1"/>
  <c r="E47" i="4" s="1"/>
  <c r="D47" i="4" a="1"/>
  <c r="D47" i="4" s="1"/>
  <c r="N46" i="4" a="1"/>
  <c r="N46" i="4"/>
  <c r="M46" i="4" a="1"/>
  <c r="M46" i="4" s="1"/>
  <c r="L46" i="4" a="1"/>
  <c r="L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D46" i="4" a="1"/>
  <c r="D46" i="4" s="1"/>
  <c r="N45" i="4" a="1"/>
  <c r="N45" i="4" s="1"/>
  <c r="M45" i="4" a="1"/>
  <c r="M45" i="4" s="1"/>
  <c r="L45" i="4" a="1"/>
  <c r="L45" i="4" s="1"/>
  <c r="K45" i="4" a="1"/>
  <c r="K45" i="4" s="1"/>
  <c r="J45" i="4" a="1"/>
  <c r="J45" i="4" s="1"/>
  <c r="I45" i="4" a="1"/>
  <c r="I45" i="4" s="1"/>
  <c r="H45" i="4" a="1"/>
  <c r="H45" i="4" s="1"/>
  <c r="G45" i="4" a="1"/>
  <c r="G45" i="4" s="1"/>
  <c r="F45" i="4" a="1"/>
  <c r="F45" i="4" s="1"/>
  <c r="E45" i="4" a="1"/>
  <c r="E45" i="4" s="1"/>
  <c r="D45" i="4" a="1"/>
  <c r="D45" i="4" s="1"/>
  <c r="N44" i="4" a="1"/>
  <c r="N44" i="4" s="1"/>
  <c r="M44" i="4" a="1"/>
  <c r="M44" i="4" s="1"/>
  <c r="L44" i="4" a="1"/>
  <c r="L44" i="4" s="1"/>
  <c r="K44" i="4" a="1"/>
  <c r="K44" i="4" s="1"/>
  <c r="J44" i="4" a="1"/>
  <c r="J44" i="4" s="1"/>
  <c r="I44" i="4" a="1"/>
  <c r="I44" i="4" s="1"/>
  <c r="H44" i="4" a="1"/>
  <c r="H44" i="4" s="1"/>
  <c r="G44" i="4" a="1"/>
  <c r="G44" i="4" s="1"/>
  <c r="F44" i="4" a="1"/>
  <c r="F44" i="4" s="1"/>
  <c r="E44" i="4" a="1"/>
  <c r="E44" i="4" s="1"/>
  <c r="D44" i="4" a="1"/>
  <c r="D44" i="4" s="1"/>
  <c r="N43" i="4" a="1"/>
  <c r="N43" i="4"/>
  <c r="M43" i="4" a="1"/>
  <c r="M43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G43" i="4" a="1"/>
  <c r="G43" i="4" s="1"/>
  <c r="F43" i="4" a="1"/>
  <c r="F43" i="4" s="1"/>
  <c r="E43" i="4" a="1"/>
  <c r="E43" i="4" s="1"/>
  <c r="D43" i="4" a="1"/>
  <c r="D43" i="4" s="1"/>
  <c r="N42" i="4" a="1"/>
  <c r="N42" i="4"/>
  <c r="M42" i="4" a="1"/>
  <c r="M42" i="4" s="1"/>
  <c r="L42" i="4" a="1"/>
  <c r="L42" i="4" s="1"/>
  <c r="K42" i="4" a="1"/>
  <c r="K42" i="4" s="1"/>
  <c r="J42" i="4" a="1"/>
  <c r="J42" i="4" s="1"/>
  <c r="I42" i="4" a="1"/>
  <c r="I42" i="4" s="1"/>
  <c r="H42" i="4" a="1"/>
  <c r="H42" i="4" s="1"/>
  <c r="G42" i="4" a="1"/>
  <c r="G42" i="4" s="1"/>
  <c r="F42" i="4" a="1"/>
  <c r="F42" i="4" s="1"/>
  <c r="E42" i="4" a="1"/>
  <c r="E42" i="4" s="1"/>
  <c r="D42" i="4" a="1"/>
  <c r="D42" i="4" s="1"/>
  <c r="N41" i="4" a="1"/>
  <c r="N41" i="4"/>
  <c r="M41" i="4" a="1"/>
  <c r="M41" i="4" s="1"/>
  <c r="L41" i="4" a="1"/>
  <c r="L41" i="4" s="1"/>
  <c r="K41" i="4" a="1"/>
  <c r="K41" i="4" s="1"/>
  <c r="J41" i="4" a="1"/>
  <c r="J41" i="4" s="1"/>
  <c r="I41" i="4" a="1"/>
  <c r="I41" i="4" s="1"/>
  <c r="H41" i="4" a="1"/>
  <c r="H41" i="4" s="1"/>
  <c r="G41" i="4" a="1"/>
  <c r="G41" i="4" s="1"/>
  <c r="F41" i="4" a="1"/>
  <c r="F41" i="4" s="1"/>
  <c r="E41" i="4" a="1"/>
  <c r="E41" i="4" s="1"/>
  <c r="D41" i="4" a="1"/>
  <c r="D41" i="4" s="1"/>
  <c r="N40" i="4" a="1"/>
  <c r="N40" i="4"/>
  <c r="M40" i="4" a="1"/>
  <c r="M40" i="4" s="1"/>
  <c r="L40" i="4" a="1"/>
  <c r="L40" i="4" s="1"/>
  <c r="K40" i="4" a="1"/>
  <c r="K40" i="4" s="1"/>
  <c r="J40" i="4" a="1"/>
  <c r="J40" i="4" s="1"/>
  <c r="I40" i="4" a="1"/>
  <c r="I40" i="4" s="1"/>
  <c r="H40" i="4" a="1"/>
  <c r="H40" i="4" s="1"/>
  <c r="G40" i="4" a="1"/>
  <c r="G40" i="4" s="1"/>
  <c r="F40" i="4" a="1"/>
  <c r="F40" i="4" s="1"/>
  <c r="E40" i="4" a="1"/>
  <c r="E40" i="4" s="1"/>
  <c r="D40" i="4" a="1"/>
  <c r="D40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I39" i="4" a="1"/>
  <c r="I39" i="4" s="1"/>
  <c r="H39" i="4" a="1"/>
  <c r="H39" i="4" s="1"/>
  <c r="G39" i="4" a="1"/>
  <c r="G39" i="4" s="1"/>
  <c r="F39" i="4" a="1"/>
  <c r="F39" i="4" s="1"/>
  <c r="E39" i="4" a="1"/>
  <c r="E39" i="4" s="1"/>
  <c r="D39" i="4" a="1"/>
  <c r="D39" i="4" s="1"/>
  <c r="N38" i="4" a="1"/>
  <c r="N38" i="4" s="1"/>
  <c r="M38" i="4" a="1"/>
  <c r="M38" i="4"/>
  <c r="L38" i="4" a="1"/>
  <c r="L38" i="4" s="1"/>
  <c r="K38" i="4" a="1"/>
  <c r="K38" i="4" s="1"/>
  <c r="J38" i="4" a="1"/>
  <c r="J38" i="4" s="1"/>
  <c r="I38" i="4" a="1"/>
  <c r="I38" i="4" s="1"/>
  <c r="H38" i="4" a="1"/>
  <c r="H38" i="4" s="1"/>
  <c r="G38" i="4" a="1"/>
  <c r="G38" i="4" s="1"/>
  <c r="F38" i="4" a="1"/>
  <c r="F38" i="4" s="1"/>
  <c r="E38" i="4" a="1"/>
  <c r="E38" i="4" s="1"/>
  <c r="D38" i="4" a="1"/>
  <c r="D38" i="4" s="1"/>
  <c r="N37" i="4" a="1"/>
  <c r="N37" i="4" s="1"/>
  <c r="M37" i="4" a="1"/>
  <c r="M37" i="4" s="1"/>
  <c r="L37" i="4" a="1"/>
  <c r="L37" i="4" s="1"/>
  <c r="K37" i="4" a="1"/>
  <c r="K37" i="4" s="1"/>
  <c r="J37" i="4" a="1"/>
  <c r="J37" i="4" s="1"/>
  <c r="I37" i="4" a="1"/>
  <c r="I37" i="4" s="1"/>
  <c r="H37" i="4" a="1"/>
  <c r="H37" i="4" s="1"/>
  <c r="G37" i="4" a="1"/>
  <c r="G37" i="4" s="1"/>
  <c r="F37" i="4" a="1"/>
  <c r="F37" i="4" s="1"/>
  <c r="E37" i="4" a="1"/>
  <c r="E37" i="4" s="1"/>
  <c r="D37" i="4" a="1"/>
  <c r="D37" i="4" s="1"/>
  <c r="N36" i="4" a="1"/>
  <c r="N36" i="4"/>
  <c r="M36" i="4" a="1"/>
  <c r="M36" i="4"/>
  <c r="L36" i="4" a="1"/>
  <c r="L36" i="4" s="1"/>
  <c r="K36" i="4" a="1"/>
  <c r="K36" i="4" s="1"/>
  <c r="J36" i="4" a="1"/>
  <c r="J36" i="4" s="1"/>
  <c r="I36" i="4" a="1"/>
  <c r="I36" i="4" s="1"/>
  <c r="H36" i="4" a="1"/>
  <c r="H36" i="4" s="1"/>
  <c r="G36" i="4" a="1"/>
  <c r="G36" i="4" s="1"/>
  <c r="F36" i="4" a="1"/>
  <c r="F36" i="4" s="1"/>
  <c r="E36" i="4" a="1"/>
  <c r="E36" i="4" s="1"/>
  <c r="D36" i="4" a="1"/>
  <c r="D36" i="4" s="1"/>
  <c r="N35" i="4" a="1"/>
  <c r="N35" i="4" s="1"/>
  <c r="M35" i="4" a="1"/>
  <c r="M35" i="4" s="1"/>
  <c r="L35" i="4" a="1"/>
  <c r="L35" i="4" s="1"/>
  <c r="K35" i="4" a="1"/>
  <c r="K35" i="4" s="1"/>
  <c r="J35" i="4" a="1"/>
  <c r="J35" i="4" s="1"/>
  <c r="I35" i="4" a="1"/>
  <c r="I35" i="4" s="1"/>
  <c r="H35" i="4" a="1"/>
  <c r="H35" i="4" s="1"/>
  <c r="G35" i="4" a="1"/>
  <c r="G35" i="4" s="1"/>
  <c r="F35" i="4" a="1"/>
  <c r="F35" i="4" s="1"/>
  <c r="E35" i="4" a="1"/>
  <c r="E35" i="4" s="1"/>
  <c r="D35" i="4" a="1"/>
  <c r="D35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I34" i="4" a="1"/>
  <c r="I34" i="4" s="1"/>
  <c r="H34" i="4" a="1"/>
  <c r="H34" i="4" s="1"/>
  <c r="G34" i="4" a="1"/>
  <c r="G34" i="4" s="1"/>
  <c r="F34" i="4" a="1"/>
  <c r="F34" i="4" s="1"/>
  <c r="E34" i="4" a="1"/>
  <c r="E34" i="4" s="1"/>
  <c r="D34" i="4" a="1"/>
  <c r="D34" i="4" s="1"/>
  <c r="N33" i="4" a="1"/>
  <c r="N33" i="4" s="1"/>
  <c r="M33" i="4" a="1"/>
  <c r="M33" i="4" s="1"/>
  <c r="L33" i="4" a="1"/>
  <c r="L33" i="4" s="1"/>
  <c r="K33" i="4" a="1"/>
  <c r="K33" i="4" s="1"/>
  <c r="J33" i="4" a="1"/>
  <c r="J33" i="4" s="1"/>
  <c r="I33" i="4" a="1"/>
  <c r="I33" i="4" s="1"/>
  <c r="H33" i="4" a="1"/>
  <c r="H33" i="4" s="1"/>
  <c r="G33" i="4" a="1"/>
  <c r="G33" i="4" s="1"/>
  <c r="F33" i="4" a="1"/>
  <c r="F33" i="4" s="1"/>
  <c r="E33" i="4" a="1"/>
  <c r="E33" i="4" s="1"/>
  <c r="D33" i="4" a="1"/>
  <c r="D33" i="4" s="1"/>
  <c r="N32" i="4" a="1"/>
  <c r="N32" i="4" s="1"/>
  <c r="M32" i="4" a="1"/>
  <c r="M32" i="4" s="1"/>
  <c r="L32" i="4" a="1"/>
  <c r="L32" i="4" s="1"/>
  <c r="K32" i="4" a="1"/>
  <c r="K32" i="4" s="1"/>
  <c r="J32" i="4" a="1"/>
  <c r="J32" i="4" s="1"/>
  <c r="I32" i="4" a="1"/>
  <c r="I32" i="4" s="1"/>
  <c r="H32" i="4" a="1"/>
  <c r="H32" i="4" s="1"/>
  <c r="G32" i="4" a="1"/>
  <c r="G32" i="4" s="1"/>
  <c r="F32" i="4" a="1"/>
  <c r="F32" i="4" s="1"/>
  <c r="E32" i="4" a="1"/>
  <c r="E32" i="4" s="1"/>
  <c r="D32" i="4" a="1"/>
  <c r="D32" i="4" s="1"/>
  <c r="N31" i="4" a="1"/>
  <c r="N31" i="4" s="1"/>
  <c r="M31" i="4" a="1"/>
  <c r="M31" i="4" s="1"/>
  <c r="L31" i="4" a="1"/>
  <c r="L31" i="4" s="1"/>
  <c r="K31" i="4" a="1"/>
  <c r="K31" i="4" s="1"/>
  <c r="J31" i="4" a="1"/>
  <c r="J31" i="4" s="1"/>
  <c r="I31" i="4" a="1"/>
  <c r="I31" i="4" s="1"/>
  <c r="H31" i="4" a="1"/>
  <c r="H31" i="4" s="1"/>
  <c r="G31" i="4" a="1"/>
  <c r="G31" i="4" s="1"/>
  <c r="F31" i="4" a="1"/>
  <c r="F31" i="4" s="1"/>
  <c r="E31" i="4" a="1"/>
  <c r="E31" i="4" s="1"/>
  <c r="D31" i="4" a="1"/>
  <c r="D31" i="4" s="1"/>
  <c r="N30" i="4" a="1"/>
  <c r="N30" i="4" s="1"/>
  <c r="M30" i="4" a="1"/>
  <c r="M30" i="4" s="1"/>
  <c r="L30" i="4" a="1"/>
  <c r="L30" i="4" s="1"/>
  <c r="K30" i="4" a="1"/>
  <c r="K30" i="4" s="1"/>
  <c r="J30" i="4" a="1"/>
  <c r="J30" i="4" s="1"/>
  <c r="I30" i="4" a="1"/>
  <c r="I30" i="4" s="1"/>
  <c r="H30" i="4" a="1"/>
  <c r="H30" i="4" s="1"/>
  <c r="G30" i="4" a="1"/>
  <c r="G30" i="4" s="1"/>
  <c r="F30" i="4" a="1"/>
  <c r="F30" i="4" s="1"/>
  <c r="E30" i="4" a="1"/>
  <c r="E30" i="4" s="1"/>
  <c r="D30" i="4" a="1"/>
  <c r="D30" i="4" s="1"/>
  <c r="N29" i="4" a="1"/>
  <c r="N29" i="4" s="1"/>
  <c r="M29" i="4" a="1"/>
  <c r="M29" i="4" s="1"/>
  <c r="L29" i="4" a="1"/>
  <c r="L29" i="4" s="1"/>
  <c r="K29" i="4" a="1"/>
  <c r="K29" i="4" s="1"/>
  <c r="J29" i="4" a="1"/>
  <c r="J29" i="4" s="1"/>
  <c r="I29" i="4" a="1"/>
  <c r="I29" i="4" s="1"/>
  <c r="H29" i="4" a="1"/>
  <c r="H29" i="4" s="1"/>
  <c r="G29" i="4" a="1"/>
  <c r="G29" i="4" s="1"/>
  <c r="F29" i="4" a="1"/>
  <c r="F29" i="4" s="1"/>
  <c r="E29" i="4" a="1"/>
  <c r="E29" i="4" s="1"/>
  <c r="D29" i="4" a="1"/>
  <c r="D29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F28" i="4" a="1"/>
  <c r="F28" i="4" s="1"/>
  <c r="E28" i="4" a="1"/>
  <c r="E28" i="4" s="1"/>
  <c r="D28" i="4" a="1"/>
  <c r="D28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H27" i="4" a="1"/>
  <c r="H27" i="4" s="1"/>
  <c r="G27" i="4" a="1"/>
  <c r="G27" i="4" s="1"/>
  <c r="F27" i="4" a="1"/>
  <c r="F27" i="4" s="1"/>
  <c r="E27" i="4" a="1"/>
  <c r="E27" i="4" s="1"/>
  <c r="D27" i="4" a="1"/>
  <c r="D27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F26" i="4" a="1"/>
  <c r="F26" i="4" s="1"/>
  <c r="E26" i="4" a="1"/>
  <c r="E26" i="4" s="1"/>
  <c r="D26" i="4" a="1"/>
  <c r="D26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F25" i="4" a="1"/>
  <c r="F25" i="4" s="1"/>
  <c r="E25" i="4" a="1"/>
  <c r="E25" i="4" s="1"/>
  <c r="D25" i="4" a="1"/>
  <c r="D25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I24" i="4" a="1"/>
  <c r="I24" i="4" s="1"/>
  <c r="H24" i="4" a="1"/>
  <c r="H24" i="4" s="1"/>
  <c r="G24" i="4" a="1"/>
  <c r="G24" i="4" s="1"/>
  <c r="F24" i="4" a="1"/>
  <c r="F24" i="4" s="1"/>
  <c r="E24" i="4" a="1"/>
  <c r="E24" i="4" s="1"/>
  <c r="D24" i="4" a="1"/>
  <c r="D24" i="4" s="1"/>
  <c r="N22" i="4" a="1"/>
  <c r="N22" i="4" s="1"/>
  <c r="M22" i="4" a="1"/>
  <c r="M22" i="4" s="1"/>
  <c r="L22" i="4" a="1"/>
  <c r="L22" i="4" s="1"/>
  <c r="K22" i="4" a="1"/>
  <c r="K22" i="4" s="1"/>
  <c r="J22" i="4" a="1"/>
  <c r="J22" i="4" s="1"/>
  <c r="I22" i="4" a="1"/>
  <c r="I22" i="4" s="1"/>
  <c r="H22" i="4" a="1"/>
  <c r="H22" i="4" s="1"/>
  <c r="G22" i="4" a="1"/>
  <c r="G22" i="4" s="1"/>
  <c r="F22" i="4" a="1"/>
  <c r="F22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F23" i="4" a="1"/>
  <c r="F23" i="4" s="1"/>
  <c r="E23" i="4" a="1"/>
  <c r="E23" i="4" s="1"/>
  <c r="D23" i="4" a="1"/>
  <c r="D23" i="4" s="1"/>
  <c r="N21" i="4" a="1"/>
  <c r="N21" i="4" s="1"/>
  <c r="M21" i="4" a="1"/>
  <c r="M21" i="4" s="1"/>
  <c r="L21" i="4" a="1"/>
  <c r="L21" i="4" s="1"/>
  <c r="K21" i="4" a="1"/>
  <c r="K21" i="4" s="1"/>
  <c r="J21" i="4" a="1"/>
  <c r="J21" i="4" s="1"/>
  <c r="I21" i="4" a="1"/>
  <c r="I21" i="4" s="1"/>
  <c r="H21" i="4" a="1"/>
  <c r="H21" i="4" s="1"/>
  <c r="G21" i="4" a="1"/>
  <c r="G21" i="4" s="1"/>
  <c r="F21" i="4" a="1"/>
  <c r="F21" i="4" s="1"/>
  <c r="E22" i="4" a="1"/>
  <c r="E22" i="4" s="1"/>
  <c r="D22" i="4" a="1"/>
  <c r="D22" i="4" s="1"/>
  <c r="N20" i="4" a="1"/>
  <c r="N20" i="4"/>
  <c r="M20" i="4" a="1"/>
  <c r="M20" i="4" s="1"/>
  <c r="L20" i="4" a="1"/>
  <c r="L20" i="4" s="1"/>
  <c r="K20" i="4" a="1"/>
  <c r="K20" i="4" s="1"/>
  <c r="J20" i="4" a="1"/>
  <c r="J20" i="4" s="1"/>
  <c r="I20" i="4" a="1"/>
  <c r="I20" i="4" s="1"/>
  <c r="H20" i="4" a="1"/>
  <c r="H20" i="4" s="1"/>
  <c r="G20" i="4" a="1"/>
  <c r="G20" i="4" s="1"/>
  <c r="F20" i="4" a="1"/>
  <c r="F20" i="4" s="1"/>
  <c r="E20" i="4" a="1"/>
  <c r="E20" i="4" s="1"/>
  <c r="E21" i="4" a="1"/>
  <c r="E21" i="4" s="1"/>
  <c r="D21" i="4" a="1"/>
  <c r="D21" i="4" s="1"/>
  <c r="D20" i="4" a="1"/>
  <c r="D20" i="4" s="1"/>
  <c r="G19" i="4" a="1"/>
  <c r="G19" i="4" s="1"/>
  <c r="G18" i="4" a="1"/>
  <c r="G18" i="4" s="1"/>
  <c r="N19" i="4" a="1"/>
  <c r="N19" i="4" s="1"/>
  <c r="M19" i="4" a="1"/>
  <c r="M19" i="4" s="1"/>
  <c r="L19" i="4" a="1"/>
  <c r="L19" i="4" s="1"/>
  <c r="K19" i="4" a="1"/>
  <c r="K19" i="4" s="1"/>
  <c r="J19" i="4" a="1"/>
  <c r="J19" i="4" s="1"/>
  <c r="I19" i="4" a="1"/>
  <c r="I19" i="4" s="1"/>
  <c r="H19" i="4" a="1"/>
  <c r="H19" i="4" s="1"/>
  <c r="F19" i="4" a="1"/>
  <c r="F19" i="4" s="1"/>
  <c r="E19" i="4" a="1"/>
  <c r="E19" i="4" s="1"/>
  <c r="D19" i="4" a="1"/>
  <c r="D19" i="4" s="1"/>
  <c r="N18" i="4" a="1"/>
  <c r="N18" i="4" s="1"/>
  <c r="M18" i="4" a="1"/>
  <c r="M18" i="4"/>
  <c r="L18" i="4" a="1"/>
  <c r="L18" i="4" s="1"/>
  <c r="K18" i="4" a="1"/>
  <c r="K18" i="4" s="1"/>
  <c r="J18" i="4" a="1"/>
  <c r="J18" i="4" s="1"/>
  <c r="I18" i="4" a="1"/>
  <c r="I18" i="4" s="1"/>
  <c r="H18" i="4" a="1"/>
  <c r="H18" i="4" s="1"/>
  <c r="F18" i="4" a="1"/>
  <c r="F18" i="4" s="1"/>
  <c r="E18" i="4" a="1"/>
  <c r="E18" i="4" s="1"/>
  <c r="D18" i="4" a="1"/>
  <c r="D18" i="4" s="1"/>
  <c r="N17" i="4" a="1"/>
  <c r="N17" i="4" s="1"/>
  <c r="M17" i="4" a="1"/>
  <c r="M17" i="4" s="1"/>
  <c r="L17" i="4" a="1"/>
  <c r="L17" i="4" s="1"/>
  <c r="K17" i="4" a="1"/>
  <c r="K17" i="4" s="1"/>
  <c r="J17" i="4" a="1"/>
  <c r="J17" i="4" s="1"/>
  <c r="I17" i="4" a="1"/>
  <c r="I17" i="4" s="1"/>
  <c r="H17" i="4" a="1"/>
  <c r="H17" i="4" s="1"/>
  <c r="G17" i="4" a="1"/>
  <c r="G17" i="4" s="1"/>
  <c r="F17" i="4" a="1"/>
  <c r="F17" i="4" s="1"/>
  <c r="E17" i="4" a="1"/>
  <c r="E17" i="4" s="1"/>
  <c r="D17" i="4" a="1"/>
  <c r="D17" i="4" s="1"/>
  <c r="N16" i="4" a="1"/>
  <c r="N16" i="4"/>
  <c r="M16" i="4" a="1"/>
  <c r="M16" i="4"/>
  <c r="L16" i="4" a="1"/>
  <c r="L16" i="4" s="1"/>
  <c r="K16" i="4" a="1"/>
  <c r="K16" i="4" s="1"/>
  <c r="J16" i="4" a="1"/>
  <c r="J16" i="4" s="1"/>
  <c r="I16" i="4" a="1"/>
  <c r="I16" i="4" s="1"/>
  <c r="H16" i="4" a="1"/>
  <c r="H16" i="4" s="1"/>
  <c r="G16" i="4" a="1"/>
  <c r="G16" i="4" s="1"/>
  <c r="F16" i="4" a="1"/>
  <c r="F16" i="4" s="1"/>
  <c r="E16" i="4" a="1"/>
  <c r="E16" i="4" s="1"/>
  <c r="D16" i="4" a="1"/>
  <c r="D16" i="4" s="1"/>
  <c r="N15" i="4" a="1"/>
  <c r="N15" i="4" s="1"/>
  <c r="M15" i="4" a="1"/>
  <c r="M15" i="4"/>
  <c r="L15" i="4" a="1"/>
  <c r="L15" i="4" s="1"/>
  <c r="K15" i="4" a="1"/>
  <c r="K15" i="4" s="1"/>
  <c r="J15" i="4" a="1"/>
  <c r="J15" i="4" s="1"/>
  <c r="I15" i="4" a="1"/>
  <c r="I15" i="4" s="1"/>
  <c r="H15" i="4" a="1"/>
  <c r="H15" i="4" s="1"/>
  <c r="G15" i="4" a="1"/>
  <c r="G15" i="4" s="1"/>
  <c r="F15" i="4" a="1"/>
  <c r="F15" i="4" s="1"/>
  <c r="E15" i="4" a="1"/>
  <c r="E15" i="4" s="1"/>
  <c r="D15" i="4" a="1"/>
  <c r="D15" i="4" s="1"/>
  <c r="N14" i="4" a="1"/>
  <c r="N14" i="4" s="1"/>
  <c r="M14" i="4" a="1"/>
  <c r="M14" i="4"/>
  <c r="L14" i="4" a="1"/>
  <c r="L14" i="4" s="1"/>
  <c r="K14" i="4" a="1"/>
  <c r="K14" i="4" s="1"/>
  <c r="J14" i="4" a="1"/>
  <c r="J14" i="4" s="1"/>
  <c r="I14" i="4" a="1"/>
  <c r="I14" i="4" s="1"/>
  <c r="H14" i="4" a="1"/>
  <c r="H14" i="4" s="1"/>
  <c r="G14" i="4" a="1"/>
  <c r="G14" i="4" s="1"/>
  <c r="F14" i="4" a="1"/>
  <c r="F14" i="4" s="1"/>
  <c r="E14" i="4" a="1"/>
  <c r="E14" i="4" s="1"/>
  <c r="D14" i="4" a="1"/>
  <c r="D14" i="4" s="1"/>
  <c r="N13" i="4" a="1"/>
  <c r="N13" i="4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 a="1"/>
  <c r="H13" i="4" s="1"/>
  <c r="G13" i="4" a="1"/>
  <c r="G13" i="4" s="1"/>
  <c r="F13" i="4" a="1"/>
  <c r="F13" i="4" s="1"/>
  <c r="E13" i="4" a="1"/>
  <c r="E13" i="4" s="1"/>
  <c r="D13" i="4" a="1"/>
  <c r="D13" i="4" s="1"/>
  <c r="N12" i="4" a="1"/>
  <c r="N12" i="4" s="1"/>
  <c r="M12" i="4" a="1"/>
  <c r="M12" i="4"/>
  <c r="L12" i="4" a="1"/>
  <c r="L12" i="4" s="1"/>
  <c r="K12" i="4" a="1"/>
  <c r="K12" i="4" s="1"/>
  <c r="J12" i="4" a="1"/>
  <c r="J12" i="4" s="1"/>
  <c r="I12" i="4" a="1"/>
  <c r="I12" i="4" s="1"/>
  <c r="H12" i="4" a="1"/>
  <c r="H12" i="4" s="1"/>
  <c r="G12" i="4" a="1"/>
  <c r="G12" i="4" s="1"/>
  <c r="F12" i="4" a="1"/>
  <c r="F12" i="4" s="1"/>
  <c r="E12" i="4" a="1"/>
  <c r="E12" i="4" s="1"/>
  <c r="D12" i="4" a="1"/>
  <c r="D12" i="4" s="1"/>
  <c r="N11" i="4" a="1"/>
  <c r="N11" i="4" s="1"/>
  <c r="M11" i="4" a="1"/>
  <c r="M11" i="4" s="1"/>
  <c r="L11" i="4" a="1"/>
  <c r="L11" i="4" s="1"/>
  <c r="K11" i="4" a="1"/>
  <c r="K11" i="4" s="1"/>
  <c r="J11" i="4" a="1"/>
  <c r="J11" i="4" s="1"/>
  <c r="I11" i="4" a="1"/>
  <c r="I11" i="4" s="1"/>
  <c r="H11" i="4" a="1"/>
  <c r="H11" i="4" s="1"/>
  <c r="G11" i="4" a="1"/>
  <c r="G11" i="4" s="1"/>
  <c r="F11" i="4" a="1"/>
  <c r="F11" i="4" s="1"/>
  <c r="E11" i="4" a="1"/>
  <c r="E11" i="4" s="1"/>
  <c r="D11" i="4" a="1"/>
  <c r="D11" i="4" s="1"/>
  <c r="N10" i="4" a="1"/>
  <c r="N10" i="4" s="1"/>
  <c r="M10" i="4" a="1"/>
  <c r="M10" i="4"/>
  <c r="L10" i="4" a="1"/>
  <c r="L10" i="4" s="1"/>
  <c r="K10" i="4" a="1"/>
  <c r="K10" i="4" s="1"/>
  <c r="J10" i="4" a="1"/>
  <c r="J10" i="4" s="1"/>
  <c r="I10" i="4" a="1"/>
  <c r="I10" i="4" s="1"/>
  <c r="H10" i="4" a="1"/>
  <c r="H10" i="4" s="1"/>
  <c r="G10" i="4" a="1"/>
  <c r="G10" i="4" s="1"/>
  <c r="F10" i="4" a="1"/>
  <c r="F10" i="4" s="1"/>
  <c r="E10" i="4" a="1"/>
  <c r="E10" i="4" s="1"/>
  <c r="D10" i="4" a="1"/>
  <c r="D10" i="4" s="1"/>
  <c r="N9" i="4" a="1"/>
  <c r="N9" i="4" s="1"/>
  <c r="M9" i="4" a="1"/>
  <c r="M9" i="4"/>
  <c r="L9" i="4" a="1"/>
  <c r="L9" i="4" s="1"/>
  <c r="K9" i="4" a="1"/>
  <c r="K9" i="4" s="1"/>
  <c r="J9" i="4" a="1"/>
  <c r="J9" i="4" s="1"/>
  <c r="I9" i="4" a="1"/>
  <c r="I9" i="4" s="1"/>
  <c r="H9" i="4" a="1"/>
  <c r="H9" i="4" s="1"/>
  <c r="G9" i="4" a="1"/>
  <c r="G9" i="4" s="1"/>
  <c r="F9" i="4" a="1"/>
  <c r="F9" i="4" s="1"/>
  <c r="E9" i="4" a="1"/>
  <c r="E9" i="4" s="1"/>
  <c r="D9" i="4" a="1"/>
  <c r="D9" i="4" s="1"/>
  <c r="N8" i="4" a="1"/>
  <c r="N8" i="4" s="1"/>
  <c r="M8" i="4" a="1"/>
  <c r="M8" i="4"/>
  <c r="L8" i="4" a="1"/>
  <c r="L8" i="4" s="1"/>
  <c r="K8" i="4" a="1"/>
  <c r="K8" i="4" s="1"/>
  <c r="E5" i="4" a="1"/>
  <c r="E5" i="4" s="1"/>
  <c r="E4" i="4" a="1"/>
  <c r="E4" i="4" s="1"/>
  <c r="J8" i="4" a="1"/>
  <c r="J8" i="4" s="1"/>
  <c r="J7" i="4" a="1"/>
  <c r="J7" i="4" s="1"/>
  <c r="J5" i="4" a="1"/>
  <c r="J5" i="4" s="1"/>
  <c r="J4" i="4" a="1"/>
  <c r="J4" i="4" s="1"/>
  <c r="J3" i="4" a="1"/>
  <c r="J3" i="4" s="1"/>
  <c r="J2" i="4" a="1"/>
  <c r="J2" i="4" s="1"/>
  <c r="I8" i="4" a="1"/>
  <c r="I8" i="4" s="1"/>
  <c r="H8" i="4" a="1"/>
  <c r="H8" i="4" s="1"/>
  <c r="G8" i="4" a="1"/>
  <c r="G8" i="4" s="1"/>
  <c r="F8" i="4" a="1"/>
  <c r="F8" i="4" s="1"/>
  <c r="E8" i="4" a="1"/>
  <c r="E8" i="4" s="1"/>
  <c r="D8" i="4" a="1"/>
  <c r="D8" i="4" s="1"/>
  <c r="N7" i="4" a="1"/>
  <c r="N7" i="4"/>
  <c r="M7" i="4" a="1"/>
  <c r="M7" i="4"/>
  <c r="L7" i="4" a="1"/>
  <c r="L7" i="4" s="1"/>
  <c r="K7" i="4" a="1"/>
  <c r="K7" i="4" s="1"/>
  <c r="I7" i="4" a="1"/>
  <c r="I7" i="4" s="1"/>
  <c r="H7" i="4" a="1"/>
  <c r="H7" i="4" s="1"/>
  <c r="G7" i="4" a="1"/>
  <c r="G7" i="4" s="1"/>
  <c r="F7" i="4" a="1"/>
  <c r="F7" i="4" s="1"/>
  <c r="E7" i="4" a="1"/>
  <c r="E7" i="4" s="1"/>
  <c r="D7" i="4" a="1"/>
  <c r="D7" i="4" s="1"/>
  <c r="N3" i="4" a="1"/>
  <c r="N3" i="4" s="1"/>
  <c r="M3" i="4" a="1"/>
  <c r="M3" i="4" s="1"/>
  <c r="L3" i="4" a="1"/>
  <c r="L3" i="4" s="1"/>
  <c r="K3" i="4" a="1"/>
  <c r="K3" i="4" s="1"/>
  <c r="I3" i="4" a="1"/>
  <c r="I3" i="4" s="1"/>
  <c r="H3" i="4" a="1"/>
  <c r="H3" i="4" s="1"/>
  <c r="G3" i="4" a="1"/>
  <c r="G3" i="4" s="1"/>
  <c r="F3" i="4" a="1"/>
  <c r="F3" i="4" s="1"/>
  <c r="N5" i="4" a="1"/>
  <c r="N5" i="4" s="1"/>
  <c r="M5" i="4" a="1"/>
  <c r="M5" i="4" s="1"/>
  <c r="L5" i="4" a="1"/>
  <c r="L5" i="4" s="1"/>
  <c r="K5" i="4" a="1"/>
  <c r="K5" i="4" s="1"/>
  <c r="I5" i="4" a="1"/>
  <c r="I5" i="4" s="1"/>
  <c r="H5" i="4" a="1"/>
  <c r="H5" i="4" s="1"/>
  <c r="G5" i="4" a="1"/>
  <c r="G5" i="4" s="1"/>
  <c r="F5" i="4" a="1"/>
  <c r="F5" i="4" s="1"/>
  <c r="N6" i="4" a="1"/>
  <c r="N6" i="4" s="1"/>
  <c r="M6" i="4" a="1"/>
  <c r="M6" i="4" s="1"/>
  <c r="L6" i="4" a="1"/>
  <c r="L6" i="4" s="1"/>
  <c r="K6" i="4" a="1"/>
  <c r="K6" i="4" s="1"/>
  <c r="J6" i="4" a="1"/>
  <c r="J6" i="4" s="1"/>
  <c r="I6" i="4" a="1"/>
  <c r="I6" i="4" s="1"/>
  <c r="H6" i="4" a="1"/>
  <c r="H6" i="4" s="1"/>
  <c r="G6" i="4" a="1"/>
  <c r="G6" i="4" s="1"/>
  <c r="F6" i="4" a="1"/>
  <c r="F6" i="4" s="1"/>
  <c r="E6" i="4" a="1"/>
  <c r="E6" i="4" s="1"/>
  <c r="D6" i="4" a="1"/>
  <c r="D6" i="4" s="1"/>
  <c r="D5" i="4" a="1"/>
  <c r="D5" i="4" s="1"/>
  <c r="N4" i="4" a="1"/>
  <c r="N4" i="4" s="1"/>
  <c r="M4" i="4" a="1"/>
  <c r="M4" i="4"/>
  <c r="L4" i="4" a="1"/>
  <c r="L4" i="4" s="1"/>
  <c r="K4" i="4" a="1"/>
  <c r="K4" i="4" s="1"/>
  <c r="I4" i="4" a="1"/>
  <c r="I4" i="4" s="1"/>
  <c r="H4" i="4" a="1"/>
  <c r="H4" i="4" s="1"/>
  <c r="G4" i="4" a="1"/>
  <c r="G4" i="4" s="1"/>
  <c r="F4" i="4" a="1"/>
  <c r="F4" i="4" s="1"/>
  <c r="D4" i="4" a="1"/>
  <c r="D4" i="4" s="1"/>
  <c r="E3" i="4" a="1"/>
  <c r="E3" i="4" s="1"/>
  <c r="D3" i="4" a="1"/>
  <c r="D3" i="4" s="1"/>
  <c r="C71" i="4" a="1"/>
  <c r="C71" i="4" s="1"/>
  <c r="C66" i="4" a="1"/>
  <c r="C66" i="4" s="1"/>
  <c r="C74" i="4" a="1"/>
  <c r="C74" i="4" s="1"/>
  <c r="C73" i="4" a="1"/>
  <c r="C73" i="4" s="1"/>
  <c r="C72" i="4" a="1"/>
  <c r="C72" i="4" s="1"/>
  <c r="C70" i="4" a="1"/>
  <c r="C70" i="4" s="1"/>
  <c r="C69" i="4" a="1"/>
  <c r="C69" i="4" s="1"/>
  <c r="C68" i="4" a="1"/>
  <c r="C68" i="4" s="1"/>
  <c r="C67" i="4" a="1"/>
  <c r="C67" i="4" s="1"/>
  <c r="C65" i="4" a="1"/>
  <c r="C65" i="4" s="1"/>
  <c r="C64" i="4" a="1"/>
  <c r="C64" i="4" s="1"/>
  <c r="C63" i="4" a="1"/>
  <c r="C63" i="4" s="1"/>
  <c r="C62" i="4" a="1"/>
  <c r="C62" i="4" s="1"/>
  <c r="C61" i="4" a="1"/>
  <c r="C61" i="4" s="1"/>
  <c r="C60" i="4" a="1"/>
  <c r="C60" i="4" s="1"/>
  <c r="C59" i="4" a="1"/>
  <c r="C59" i="4" s="1"/>
  <c r="C58" i="4" a="1"/>
  <c r="C58" i="4" s="1"/>
  <c r="C57" i="4" a="1"/>
  <c r="C57" i="4" s="1"/>
  <c r="C56" i="4" a="1"/>
  <c r="C56" i="4" s="1"/>
  <c r="C55" i="4" a="1"/>
  <c r="C55" i="4" s="1"/>
  <c r="C54" i="4" a="1"/>
  <c r="C54" i="4" s="1"/>
  <c r="C53" i="4" a="1"/>
  <c r="C53" i="4" s="1"/>
  <c r="C52" i="4" a="1"/>
  <c r="C52" i="4" s="1"/>
  <c r="C51" i="4" a="1"/>
  <c r="C51" i="4" s="1"/>
  <c r="C50" i="4" a="1"/>
  <c r="C50" i="4" s="1"/>
  <c r="C49" i="4" a="1"/>
  <c r="C49" i="4" s="1"/>
  <c r="C48" i="4" a="1"/>
  <c r="C48" i="4" s="1"/>
  <c r="C47" i="4" a="1"/>
  <c r="C47" i="4" s="1"/>
  <c r="C46" i="4" a="1"/>
  <c r="C46" i="4" s="1"/>
  <c r="C45" i="4" a="1"/>
  <c r="C45" i="4" s="1"/>
  <c r="C44" i="4" a="1"/>
  <c r="C44" i="4" s="1"/>
  <c r="C43" i="4" a="1"/>
  <c r="C43" i="4" s="1"/>
  <c r="C42" i="4" a="1"/>
  <c r="C42" i="4" s="1"/>
  <c r="C41" i="4" a="1"/>
  <c r="C41" i="4" s="1"/>
  <c r="C40" i="4" a="1"/>
  <c r="C40" i="4" s="1"/>
  <c r="C39" i="4" a="1"/>
  <c r="C39" i="4" s="1"/>
  <c r="C38" i="4" a="1"/>
  <c r="C38" i="4" s="1"/>
  <c r="C37" i="4" a="1"/>
  <c r="C37" i="4" s="1"/>
  <c r="C36" i="4" a="1"/>
  <c r="C36" i="4" s="1"/>
  <c r="C35" i="4" a="1"/>
  <c r="C35" i="4" s="1"/>
  <c r="C34" i="4" a="1"/>
  <c r="C34" i="4" s="1"/>
  <c r="C33" i="4" a="1"/>
  <c r="C33" i="4" s="1"/>
  <c r="C32" i="4" a="1"/>
  <c r="C32" i="4" s="1"/>
  <c r="C31" i="4" a="1"/>
  <c r="C31" i="4" s="1"/>
  <c r="C30" i="4" a="1"/>
  <c r="C30" i="4" s="1"/>
  <c r="C28" i="4" a="1"/>
  <c r="C28" i="4" s="1"/>
  <c r="C29" i="4" s="1" a="1"/>
  <c r="C29" i="4" s="1"/>
  <c r="C27" i="4" a="1"/>
  <c r="C27" i="4" s="1"/>
  <c r="C26" i="4" a="1"/>
  <c r="C26" i="4" s="1"/>
  <c r="C25" i="4" a="1"/>
  <c r="C25" i="4" s="1"/>
  <c r="C24" i="4" a="1"/>
  <c r="C24" i="4" s="1"/>
  <c r="C23" i="4" a="1"/>
  <c r="C23" i="4" s="1"/>
  <c r="C22" i="4" a="1"/>
  <c r="C22" i="4" s="1"/>
  <c r="C21" i="4" a="1"/>
  <c r="C21" i="4" s="1"/>
  <c r="C20" i="4" a="1"/>
  <c r="C20" i="4" s="1"/>
  <c r="C19" i="4" a="1"/>
  <c r="C19" i="4" s="1"/>
  <c r="C18" i="4" a="1"/>
  <c r="C18" i="4" s="1"/>
  <c r="C17" i="4" a="1"/>
  <c r="C17" i="4" s="1"/>
  <c r="C16" i="4" a="1"/>
  <c r="C16" i="4" s="1"/>
  <c r="C15" i="4" a="1"/>
  <c r="C15" i="4" s="1"/>
  <c r="C14" i="4" a="1"/>
  <c r="C14" i="4" s="1"/>
  <c r="C13" i="4" a="1"/>
  <c r="C13" i="4" s="1"/>
  <c r="C12" i="4" a="1"/>
  <c r="C12" i="4" s="1"/>
  <c r="N2" i="4" a="1"/>
  <c r="N2" i="4" s="1"/>
  <c r="M2" i="4" a="1"/>
  <c r="M2" i="4" s="1"/>
  <c r="L2" i="4" a="1"/>
  <c r="L2" i="4" s="1"/>
  <c r="K2" i="4" a="1"/>
  <c r="K2" i="4" s="1"/>
  <c r="I2" i="4" a="1"/>
  <c r="I2" i="4" s="1"/>
  <c r="H2" i="4" a="1"/>
  <c r="H2" i="4" s="1"/>
  <c r="G2" i="4" a="1"/>
  <c r="G2" i="4" s="1"/>
  <c r="F2" i="4" a="1"/>
  <c r="F2" i="4" s="1"/>
  <c r="E2" i="4" a="1"/>
  <c r="E2" i="4" s="1"/>
  <c r="C11" i="4" a="1"/>
  <c r="C11" i="4" s="1"/>
  <c r="D2" i="4" a="1"/>
  <c r="D2" i="4" s="1"/>
  <c r="C10" i="4" a="1"/>
  <c r="C10" i="4" s="1"/>
  <c r="C9" i="4" a="1"/>
  <c r="C9" i="4" s="1"/>
  <c r="C8" i="4" a="1"/>
  <c r="C8" i="4" s="1"/>
  <c r="C7" i="4" a="1"/>
  <c r="C7" i="4" s="1"/>
  <c r="C6" i="4" a="1"/>
  <c r="C6" i="4" s="1"/>
  <c r="C5" i="4" a="1"/>
  <c r="C5" i="4" s="1"/>
  <c r="C4" i="4" a="1"/>
  <c r="C4" i="4" s="1"/>
  <c r="C3" i="4" a="1"/>
  <c r="C3" i="4" s="1"/>
  <c r="C2" i="4" a="1"/>
  <c r="C2" i="4" s="1"/>
  <c r="F7" i="5" l="1"/>
  <c r="F19" i="5"/>
  <c r="I19" i="5"/>
  <c r="H19" i="5"/>
  <c r="G19" i="5"/>
  <c r="E19" i="5"/>
  <c r="D19" i="5"/>
  <c r="H18" i="5"/>
  <c r="C19" i="5"/>
  <c r="G18" i="5"/>
  <c r="I18" i="5"/>
  <c r="F18" i="5"/>
  <c r="D18" i="5"/>
  <c r="E18" i="5"/>
  <c r="C18" i="5"/>
  <c r="D17" i="5"/>
  <c r="I17" i="5"/>
  <c r="H17" i="5"/>
  <c r="G17" i="5"/>
  <c r="F17" i="5"/>
  <c r="E17" i="5"/>
  <c r="C17" i="5"/>
  <c r="I16" i="5"/>
  <c r="E16" i="5"/>
  <c r="H16" i="5"/>
  <c r="G16" i="5"/>
  <c r="F16" i="5"/>
  <c r="D16" i="5"/>
  <c r="C16" i="5"/>
  <c r="I15" i="5"/>
  <c r="G15" i="5"/>
  <c r="F15" i="5"/>
  <c r="C15" i="5"/>
  <c r="H15" i="5"/>
  <c r="E15" i="5"/>
  <c r="D15" i="5"/>
  <c r="D14" i="5"/>
  <c r="E14" i="5"/>
  <c r="F14" i="5"/>
  <c r="I14" i="5"/>
  <c r="H14" i="5"/>
  <c r="G14" i="5"/>
  <c r="C14" i="5"/>
  <c r="I13" i="5"/>
  <c r="F13" i="5"/>
  <c r="H13" i="5"/>
  <c r="G13" i="5"/>
  <c r="D13" i="5"/>
  <c r="E13" i="5"/>
  <c r="C13" i="5"/>
  <c r="C12" i="5"/>
  <c r="I12" i="5"/>
  <c r="G12" i="5"/>
  <c r="D12" i="5"/>
  <c r="H12" i="5"/>
  <c r="F12" i="5"/>
  <c r="E12" i="5"/>
  <c r="I11" i="5"/>
  <c r="H11" i="5"/>
  <c r="G11" i="5"/>
  <c r="F11" i="5"/>
  <c r="E11" i="5"/>
  <c r="D11" i="5"/>
  <c r="C11" i="5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D8" i="5"/>
  <c r="G8" i="5"/>
  <c r="C8" i="5"/>
  <c r="I8" i="5"/>
  <c r="H8" i="5"/>
  <c r="F8" i="5"/>
  <c r="E8" i="5"/>
  <c r="I7" i="5"/>
  <c r="E7" i="5"/>
  <c r="D7" i="5"/>
  <c r="C7" i="5"/>
  <c r="H7" i="5"/>
  <c r="G7" i="5"/>
  <c r="H6" i="5"/>
  <c r="G6" i="5"/>
  <c r="I6" i="5"/>
  <c r="E6" i="5"/>
  <c r="F6" i="5"/>
  <c r="D6" i="5"/>
  <c r="C6" i="5"/>
  <c r="G5" i="5"/>
  <c r="F5" i="5"/>
  <c r="I5" i="5"/>
  <c r="H5" i="5"/>
  <c r="E5" i="5"/>
  <c r="D5" i="5"/>
  <c r="C5" i="5"/>
  <c r="B19" i="5"/>
  <c r="B18" i="5"/>
  <c r="B17" i="5"/>
  <c r="B16" i="5"/>
  <c r="B15" i="5"/>
  <c r="B14" i="5"/>
  <c r="B13" i="5"/>
  <c r="B12" i="5"/>
  <c r="B11" i="5"/>
  <c r="B10" i="5"/>
  <c r="B9" i="5"/>
  <c r="B8" i="5"/>
  <c r="B6" i="5"/>
  <c r="B7" i="5"/>
  <c r="B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<sst xmlns="http://schemas.openxmlformats.org/spreadsheetml/2006/main" count="547" uniqueCount="68">
  <si>
    <t>No.</t>
  </si>
  <si>
    <t>Company</t>
  </si>
  <si>
    <t>Reliance Industries</t>
  </si>
  <si>
    <t>Deepak Nitrite</t>
  </si>
  <si>
    <t>Linde India</t>
  </si>
  <si>
    <t>SRF Ltd</t>
  </si>
  <si>
    <t>Gujarat Fluorochemicals</t>
  </si>
  <si>
    <t>NTPC</t>
  </si>
  <si>
    <t>Tata Power</t>
  </si>
  <si>
    <t>Adani Green</t>
  </si>
  <si>
    <t>Power Grid</t>
  </si>
  <si>
    <t>Indian Oil</t>
  </si>
  <si>
    <t>Hindustan Zinc</t>
  </si>
  <si>
    <t>NMDC</t>
  </si>
  <si>
    <t>Coal India</t>
  </si>
  <si>
    <t>Tata Steel (Mining)</t>
  </si>
  <si>
    <t>MOIL</t>
  </si>
  <si>
    <t>Year</t>
  </si>
  <si>
    <t>Revenue</t>
  </si>
  <si>
    <t>Net_Profit</t>
  </si>
  <si>
    <t>Total_Assets</t>
  </si>
  <si>
    <t>Total_Liabilities</t>
  </si>
  <si>
    <t>Current_Assets</t>
  </si>
  <si>
    <t>Current_Liabilities</t>
  </si>
  <si>
    <t>PPE(Net PPE)</t>
  </si>
  <si>
    <t>CapEx</t>
  </si>
  <si>
    <t>Depreciation</t>
  </si>
  <si>
    <t>Interest_Expense</t>
  </si>
  <si>
    <t>EBITDA</t>
  </si>
  <si>
    <t>Operating_Cash_Flow</t>
  </si>
  <si>
    <t>Net_Debt</t>
  </si>
  <si>
    <t>Goodwill</t>
  </si>
  <si>
    <t>Intangibles</t>
  </si>
  <si>
    <t>2020</t>
  </si>
  <si>
    <t>2021</t>
  </si>
  <si>
    <t>2022</t>
  </si>
  <si>
    <t>2023</t>
  </si>
  <si>
    <t>2024</t>
  </si>
  <si>
    <t>ESG_CapEx</t>
  </si>
  <si>
    <t>Green_Assets</t>
  </si>
  <si>
    <t>Scope1_Emissions_tCO2e</t>
  </si>
  <si>
    <t>Scope2_Emissions_tCO2e</t>
  </si>
  <si>
    <t>ESG_Score</t>
  </si>
  <si>
    <t>Number_of_Sustainability_Projects</t>
  </si>
  <si>
    <t>ROA (NetProfit/TotalAssets)</t>
  </si>
  <si>
    <t>Asset_Turnover (Revenue/TotalAssets)</t>
  </si>
  <si>
    <t>Working_Capital (CurrentAssets-CurrentLiabilities)</t>
  </si>
  <si>
    <t>Working_Cap_Turnover (Revenue/WorkingCapital)</t>
  </si>
  <si>
    <t>Net_Debt/EBITDA</t>
  </si>
  <si>
    <t>Interest_Coverage (EBITDA/InterestExpense)</t>
  </si>
  <si>
    <t>FCF (OperatingCashFlow - CapEx)</t>
  </si>
  <si>
    <t>EBITDA_Margin (EBITDA/Revenue)</t>
  </si>
  <si>
    <t>ESG_CapEx_pct (ESG_CapEx/CapEx)</t>
  </si>
  <si>
    <t>Green_Assets_pct (Green_Assets/TotalAssets)</t>
  </si>
  <si>
    <t>Scope1+2_Emissions</t>
  </si>
  <si>
    <t>ESG + Financial Dashboard (Template)</t>
  </si>
  <si>
    <t>Instructions: Fill in Raw_Financials and Raw_ESG sheets for each company-year. Calculated_Metrics sheet will auto-populate when Excel evaluates formulas.</t>
  </si>
  <si>
    <t>ROA (avg 5yr)</t>
  </si>
  <si>
    <t>Asset_Turnover (avg 5yr)</t>
  </si>
  <si>
    <t>Net_Debt/EBITDA (avg 5yr)</t>
  </si>
  <si>
    <t>FCF (avg 5yr)</t>
  </si>
  <si>
    <t>EBITDA_Margin (avg 5yr)</t>
  </si>
  <si>
    <t>ESG_CapEx_pct (avg 5yr)</t>
  </si>
  <si>
    <t>Green_Assets_pct (avg 5yr)</t>
  </si>
  <si>
    <t>ESG_Score (avg 5yr)</t>
  </si>
  <si>
    <t>PetroChemical</t>
  </si>
  <si>
    <t>Power</t>
  </si>
  <si>
    <t>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</si>
</sst>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Financials" displayName="RawFinancials" ref="A1:Q76" headerRowDxfId="0">
  <autoFilter ref="A1:Q76" xr:uid="{00000000-0009-0000-0100-000001000000}"/>
  <tableColumns count="17">
    <tableColumn id="1" xr3:uid="{00000000-0010-0000-0000-000001000000}" name="Company"/>
    <tableColumn id="2" xr3:uid="{00000000-0010-0000-0000-000002000000}" name="Year"/>
    <tableColumn id="3" xr3:uid="{00000000-0010-0000-0000-000003000000}" name="Revenue"/>
    <tableColumn id="4" xr3:uid="{00000000-0010-0000-0000-000004000000}" name="Net_Profit"/>
    <tableColumn id="5" xr3:uid="{00000000-0010-0000-0000-000005000000}" name="Total_Assets"/>
    <tableColumn id="6" xr3:uid="{00000000-0010-0000-0000-000006000000}" name="Total_Liabilities"/>
    <tableColumn id="7" xr3:uid="{00000000-0010-0000-0000-000007000000}" name="Current_Assets"/>
    <tableColumn id="8" xr3:uid="{00000000-0010-0000-0000-000008000000}" name="Current_Liabilities"/>
    <tableColumn id="9" xr3:uid="{00000000-0010-0000-0000-000009000000}" name="PPE(Net PPE)"/>
    <tableColumn id="10" xr3:uid="{00000000-0010-0000-0000-00000A000000}" name="CapEx"/>
    <tableColumn id="11" xr3:uid="{00000000-0010-0000-0000-00000B000000}" name="Depreciation"/>
    <tableColumn id="12" xr3:uid="{00000000-0010-0000-0000-00000C000000}" name="Interest_Expense"/>
    <tableColumn id="13" xr3:uid="{00000000-0010-0000-0000-00000D000000}" name="EBITDA"/>
    <tableColumn id="14" xr3:uid="{00000000-0010-0000-0000-00000E000000}" name="Operating_Cash_Flow"/>
    <tableColumn id="15" xr3:uid="{00000000-0010-0000-0000-00000F000000}" name="Net_Debt"/>
    <tableColumn id="16" xr3:uid="{00000000-0010-0000-0000-000010000000}" name="Goodwill"/>
    <tableColumn id="17" xr3:uid="{00000000-0010-0000-0000-000011000000}" name="Intangib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ESG" displayName="RawESG" ref="A1:H76">
  <autoFilter ref="A1:H76" xr:uid="{00000000-0009-0000-0100-000002000000}"/>
  <tableColumns count="8">
    <tableColumn id="1" xr3:uid="{00000000-0010-0000-0100-000001000000}" name="Company"/>
    <tableColumn id="2" xr3:uid="{00000000-0010-0000-0100-000002000000}" name="Year"/>
    <tableColumn id="3" xr3:uid="{00000000-0010-0000-0100-000003000000}" name="ESG_CapEx"/>
    <tableColumn id="4" xr3:uid="{00000000-0010-0000-0100-000004000000}" name="Green_Assets"/>
    <tableColumn id="5" xr3:uid="{00000000-0010-0000-0100-000005000000}" name="Scope1_Emissions_tCO2e"/>
    <tableColumn id="6" xr3:uid="{00000000-0010-0000-0100-000006000000}" name="Scope2_Emissions_tCO2e"/>
    <tableColumn id="7" xr3:uid="{00000000-0010-0000-0100-000007000000}" name="ESG_Score"/>
    <tableColumn id="8" xr3:uid="{00000000-0010-0000-0100-000008000000}" name="Number_of_Sustainability_Projec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4" sqref="B4"/>
    </sheetView>
  </sheetViews>
  <sheetFormatPr defaultRowHeight="14.5" x14ac:dyDescent="0.35"/>
  <cols>
    <col min="1" max="1" width="6" customWidth="1"/>
    <col min="2" max="2" width="40" customWidth="1"/>
    <col min="3" max="3" width="12.906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>
        <v>1</v>
      </c>
      <c r="B2" t="s">
        <v>2</v>
      </c>
      <c r="C2" t="s">
        <v>65</v>
      </c>
    </row>
    <row r="3" spans="1:3" x14ac:dyDescent="0.35">
      <c r="A3">
        <v>2</v>
      </c>
      <c r="B3" t="s">
        <v>3</v>
      </c>
      <c r="C3" t="s">
        <v>65</v>
      </c>
    </row>
    <row r="4" spans="1:3" x14ac:dyDescent="0.35">
      <c r="A4">
        <v>3</v>
      </c>
      <c r="B4" t="s">
        <v>4</v>
      </c>
      <c r="C4" t="s">
        <v>65</v>
      </c>
    </row>
    <row r="5" spans="1:3" x14ac:dyDescent="0.35">
      <c r="A5">
        <v>4</v>
      </c>
      <c r="B5" t="s">
        <v>5</v>
      </c>
      <c r="C5" t="s">
        <v>65</v>
      </c>
    </row>
    <row r="6" spans="1:3" x14ac:dyDescent="0.35">
      <c r="A6">
        <v>5</v>
      </c>
      <c r="B6" t="s">
        <v>6</v>
      </c>
      <c r="C6" t="s">
        <v>65</v>
      </c>
    </row>
    <row r="7" spans="1:3" x14ac:dyDescent="0.35">
      <c r="A7">
        <v>6</v>
      </c>
      <c r="B7" t="s">
        <v>7</v>
      </c>
      <c r="C7" t="s">
        <v>66</v>
      </c>
    </row>
    <row r="8" spans="1:3" x14ac:dyDescent="0.35">
      <c r="A8">
        <v>7</v>
      </c>
      <c r="B8" t="s">
        <v>8</v>
      </c>
      <c r="C8" t="s">
        <v>66</v>
      </c>
    </row>
    <row r="9" spans="1:3" x14ac:dyDescent="0.35">
      <c r="A9">
        <v>8</v>
      </c>
      <c r="B9" t="s">
        <v>9</v>
      </c>
      <c r="C9" t="s">
        <v>66</v>
      </c>
    </row>
    <row r="10" spans="1:3" x14ac:dyDescent="0.35">
      <c r="A10">
        <v>9</v>
      </c>
      <c r="B10" t="s">
        <v>10</v>
      </c>
      <c r="C10" t="s">
        <v>66</v>
      </c>
    </row>
    <row r="11" spans="1:3" x14ac:dyDescent="0.35">
      <c r="A11">
        <v>10</v>
      </c>
      <c r="B11" t="s">
        <v>11</v>
      </c>
      <c r="C11" t="s">
        <v>66</v>
      </c>
    </row>
    <row r="12" spans="1:3" x14ac:dyDescent="0.35">
      <c r="A12">
        <v>11</v>
      </c>
      <c r="B12" t="s">
        <v>12</v>
      </c>
      <c r="C12" t="s">
        <v>67</v>
      </c>
    </row>
    <row r="13" spans="1:3" x14ac:dyDescent="0.35">
      <c r="A13">
        <v>12</v>
      </c>
      <c r="B13" t="s">
        <v>13</v>
      </c>
      <c r="C13" t="s">
        <v>67</v>
      </c>
    </row>
    <row r="14" spans="1:3" x14ac:dyDescent="0.35">
      <c r="A14">
        <v>13</v>
      </c>
      <c r="B14" t="s">
        <v>14</v>
      </c>
      <c r="C14" t="s">
        <v>67</v>
      </c>
    </row>
    <row r="15" spans="1:3" x14ac:dyDescent="0.35">
      <c r="A15">
        <v>14</v>
      </c>
      <c r="B15" t="s">
        <v>15</v>
      </c>
      <c r="C15" t="s">
        <v>67</v>
      </c>
    </row>
    <row r="16" spans="1:3" x14ac:dyDescent="0.35">
      <c r="A16">
        <v>15</v>
      </c>
      <c r="B16" t="s">
        <v>16</v>
      </c>
      <c r="C16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"/>
  <sheetViews>
    <sheetView zoomScale="70" zoomScaleNormal="70" workbookViewId="0">
      <selection activeCell="A2" sqref="A2"/>
    </sheetView>
  </sheetViews>
  <sheetFormatPr defaultRowHeight="14.5" x14ac:dyDescent="0.35"/>
  <cols>
    <col min="1" max="1" width="21.1796875" bestFit="1" customWidth="1"/>
    <col min="2" max="2" width="6.81640625" bestFit="1" customWidth="1"/>
    <col min="3" max="3" width="10.26953125" bestFit="1" customWidth="1"/>
    <col min="4" max="4" width="11.81640625" bestFit="1" customWidth="1"/>
    <col min="5" max="5" width="13.7265625" bestFit="1" customWidth="1"/>
    <col min="6" max="6" width="16.1796875" bestFit="1" customWidth="1"/>
    <col min="7" max="7" width="16" bestFit="1" customWidth="1"/>
    <col min="8" max="8" width="18.36328125" bestFit="1" customWidth="1"/>
    <col min="9" max="9" width="14.1796875" bestFit="1" customWidth="1"/>
    <col min="10" max="10" width="8.81640625" bestFit="1" customWidth="1"/>
    <col min="11" max="11" width="13.81640625" bestFit="1" customWidth="1"/>
    <col min="12" max="12" width="17.7265625" bestFit="1" customWidth="1"/>
    <col min="13" max="13" width="9.1796875" bestFit="1" customWidth="1"/>
    <col min="14" max="14" width="21.54296875" bestFit="1" customWidth="1"/>
    <col min="15" max="15" width="11.1796875" bestFit="1" customWidth="1"/>
    <col min="16" max="16" width="10.453125" bestFit="1" customWidth="1"/>
    <col min="17" max="17" width="12.26953125" bestFit="1" customWidth="1"/>
  </cols>
  <sheetData>
    <row r="1" spans="1:17" x14ac:dyDescent="0.35">
      <c r="A1" s="3" t="s">
        <v>1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</row>
    <row r="2" spans="1:17" x14ac:dyDescent="0.35">
      <c r="A2" t="s">
        <v>2</v>
      </c>
      <c r="B2" t="s">
        <v>33</v>
      </c>
      <c r="C2" s="2">
        <v>43727.01</v>
      </c>
      <c r="D2" s="2">
        <v>11605.71</v>
      </c>
      <c r="E2">
        <v>184799.09</v>
      </c>
      <c r="F2">
        <v>98879.26</v>
      </c>
      <c r="G2">
        <v>26240.75</v>
      </c>
      <c r="H2">
        <v>19679.84</v>
      </c>
      <c r="I2">
        <v>27904.18</v>
      </c>
      <c r="J2">
        <v>13661.76</v>
      </c>
      <c r="K2">
        <v>7707.81</v>
      </c>
      <c r="L2">
        <v>6040.36</v>
      </c>
      <c r="M2" s="2">
        <v>10411.69</v>
      </c>
      <c r="N2">
        <v>36747.75</v>
      </c>
      <c r="O2">
        <v>66622.13</v>
      </c>
      <c r="P2">
        <v>5698.71</v>
      </c>
      <c r="Q2">
        <v>4090.95</v>
      </c>
    </row>
    <row r="3" spans="1:17" x14ac:dyDescent="0.35">
      <c r="A3" t="s">
        <v>2</v>
      </c>
      <c r="B3" t="s">
        <v>34</v>
      </c>
      <c r="C3" s="2">
        <v>34170.230000000003</v>
      </c>
      <c r="D3" s="2">
        <v>6433.94</v>
      </c>
      <c r="E3">
        <v>153713.46</v>
      </c>
      <c r="F3">
        <v>83875.05</v>
      </c>
      <c r="G3">
        <v>31649.17</v>
      </c>
      <c r="H3">
        <v>33355.589999999997</v>
      </c>
      <c r="I3">
        <v>31974.69</v>
      </c>
      <c r="J3">
        <v>7921.45</v>
      </c>
      <c r="K3">
        <v>6064.53</v>
      </c>
      <c r="L3">
        <v>4780.3500000000004</v>
      </c>
      <c r="M3" s="2">
        <v>25703.52</v>
      </c>
      <c r="N3">
        <v>17491.84</v>
      </c>
      <c r="O3">
        <v>50711.72</v>
      </c>
      <c r="P3">
        <v>8739.32</v>
      </c>
      <c r="Q3">
        <v>3278.7</v>
      </c>
    </row>
    <row r="4" spans="1:17" x14ac:dyDescent="0.35">
      <c r="A4" t="s">
        <v>2</v>
      </c>
      <c r="B4" t="s">
        <v>35</v>
      </c>
      <c r="C4" s="2">
        <v>55377.24</v>
      </c>
      <c r="D4" s="2">
        <v>5364.19</v>
      </c>
      <c r="E4">
        <v>84757.74</v>
      </c>
      <c r="F4">
        <v>130399.7</v>
      </c>
      <c r="G4">
        <v>58625.279999999999</v>
      </c>
      <c r="H4">
        <v>39251.919999999998</v>
      </c>
      <c r="I4">
        <v>40230.69</v>
      </c>
      <c r="J4">
        <v>5976.72</v>
      </c>
      <c r="K4">
        <v>8289.6299999999992</v>
      </c>
      <c r="L4">
        <v>4700.76</v>
      </c>
      <c r="M4" s="2">
        <v>12440.76</v>
      </c>
      <c r="N4">
        <v>24879.42</v>
      </c>
      <c r="O4">
        <v>26719.43</v>
      </c>
      <c r="P4">
        <v>11274.56</v>
      </c>
      <c r="Q4">
        <v>4552.68</v>
      </c>
    </row>
    <row r="5" spans="1:17" x14ac:dyDescent="0.35">
      <c r="A5" t="s">
        <v>2</v>
      </c>
      <c r="B5" t="s">
        <v>36</v>
      </c>
      <c r="C5" s="2">
        <v>58126.11</v>
      </c>
      <c r="D5" s="2">
        <v>6493.69</v>
      </c>
      <c r="E5">
        <v>153010.20000000001</v>
      </c>
      <c r="F5">
        <v>94203.93</v>
      </c>
      <c r="G5">
        <v>27394.18</v>
      </c>
      <c r="H5">
        <v>44087.54</v>
      </c>
      <c r="I5">
        <v>63756.639999999999</v>
      </c>
      <c r="J5">
        <v>14394.99</v>
      </c>
      <c r="K5">
        <v>9763.7900000000009</v>
      </c>
      <c r="L5">
        <v>5489.5</v>
      </c>
      <c r="M5" s="2">
        <v>28437.48</v>
      </c>
      <c r="N5">
        <v>14712.31</v>
      </c>
      <c r="O5">
        <v>34799.14</v>
      </c>
      <c r="P5">
        <v>4361.82</v>
      </c>
      <c r="Q5">
        <v>4951.9799999999996</v>
      </c>
    </row>
    <row r="6" spans="1:17" x14ac:dyDescent="0.35">
      <c r="A6" t="s">
        <v>2</v>
      </c>
      <c r="B6" t="s">
        <v>37</v>
      </c>
      <c r="C6" s="2">
        <v>44433.86</v>
      </c>
      <c r="D6" s="2">
        <v>6170.79</v>
      </c>
      <c r="E6">
        <v>199310.63</v>
      </c>
      <c r="F6">
        <v>77107.8</v>
      </c>
      <c r="G6">
        <v>31237.38</v>
      </c>
      <c r="H6">
        <v>31280.880000000001</v>
      </c>
      <c r="I6">
        <v>32046.21</v>
      </c>
      <c r="J6">
        <v>13021.97</v>
      </c>
      <c r="K6">
        <v>4021.85</v>
      </c>
      <c r="L6">
        <v>7434.43</v>
      </c>
      <c r="M6" s="2">
        <v>25444.9</v>
      </c>
      <c r="N6">
        <v>17467.89</v>
      </c>
      <c r="O6">
        <v>25276.11</v>
      </c>
      <c r="P6">
        <v>10523.69</v>
      </c>
      <c r="Q6">
        <v>7241.14</v>
      </c>
    </row>
    <row r="7" spans="1:17" x14ac:dyDescent="0.35">
      <c r="A7" t="s">
        <v>3</v>
      </c>
      <c r="B7" t="s">
        <v>33</v>
      </c>
      <c r="C7">
        <v>61450.36</v>
      </c>
      <c r="D7">
        <v>10170.16</v>
      </c>
      <c r="E7">
        <v>86106.7</v>
      </c>
      <c r="F7">
        <v>77261.919999999998</v>
      </c>
      <c r="G7">
        <v>24634.76</v>
      </c>
      <c r="H7">
        <v>40893.1</v>
      </c>
      <c r="I7">
        <v>56164.91</v>
      </c>
      <c r="J7">
        <v>8308.98</v>
      </c>
      <c r="K7">
        <v>3944.91</v>
      </c>
      <c r="L7">
        <v>4054.91</v>
      </c>
      <c r="M7">
        <v>16503.669999999998</v>
      </c>
      <c r="N7">
        <v>30740.15</v>
      </c>
      <c r="O7">
        <v>56877.87</v>
      </c>
      <c r="P7">
        <v>11097.7</v>
      </c>
      <c r="Q7">
        <v>5833.29</v>
      </c>
    </row>
    <row r="8" spans="1:17" x14ac:dyDescent="0.35">
      <c r="A8" t="s">
        <v>3</v>
      </c>
      <c r="B8" t="s">
        <v>34</v>
      </c>
      <c r="C8">
        <v>30979.71</v>
      </c>
      <c r="D8">
        <v>9705.9599999999991</v>
      </c>
      <c r="E8">
        <v>189117.76</v>
      </c>
      <c r="F8">
        <v>95514.95</v>
      </c>
      <c r="G8">
        <v>50838.69</v>
      </c>
      <c r="H8">
        <v>29813.87</v>
      </c>
      <c r="I8">
        <v>51136.639999999999</v>
      </c>
      <c r="J8">
        <v>9275.41</v>
      </c>
      <c r="K8">
        <v>3677.93</v>
      </c>
      <c r="L8">
        <v>3039.46</v>
      </c>
      <c r="M8">
        <v>10628.58</v>
      </c>
      <c r="N8">
        <v>28410.26</v>
      </c>
      <c r="O8">
        <v>40717.800000000003</v>
      </c>
      <c r="P8">
        <v>8068.57</v>
      </c>
      <c r="Q8">
        <v>8445.4</v>
      </c>
    </row>
    <row r="9" spans="1:17" x14ac:dyDescent="0.35">
      <c r="A9" t="s">
        <v>3</v>
      </c>
      <c r="B9" t="s">
        <v>35</v>
      </c>
      <c r="C9">
        <v>37464.61</v>
      </c>
      <c r="D9">
        <v>7283.06</v>
      </c>
      <c r="E9">
        <v>188332.67</v>
      </c>
      <c r="F9">
        <v>65591.83</v>
      </c>
      <c r="G9">
        <v>23079.200000000001</v>
      </c>
      <c r="H9">
        <v>23692.54</v>
      </c>
      <c r="I9">
        <v>33061.06</v>
      </c>
      <c r="J9">
        <v>14296.98</v>
      </c>
      <c r="K9">
        <v>9156.84</v>
      </c>
      <c r="L9">
        <v>5667.02</v>
      </c>
      <c r="M9">
        <v>27429.21</v>
      </c>
      <c r="N9">
        <v>32591.8</v>
      </c>
      <c r="O9">
        <v>34328.5</v>
      </c>
      <c r="P9">
        <v>11140.47</v>
      </c>
      <c r="Q9">
        <v>6236.05</v>
      </c>
    </row>
    <row r="10" spans="1:17" x14ac:dyDescent="0.35">
      <c r="A10" t="s">
        <v>3</v>
      </c>
      <c r="B10" t="s">
        <v>36</v>
      </c>
      <c r="C10">
        <v>65372.01</v>
      </c>
      <c r="D10">
        <v>11168.73</v>
      </c>
      <c r="E10">
        <v>122700.52</v>
      </c>
      <c r="F10">
        <v>54904.67</v>
      </c>
      <c r="G10">
        <v>29117.41</v>
      </c>
      <c r="H10">
        <v>27813.23</v>
      </c>
      <c r="I10">
        <v>65900.740000000005</v>
      </c>
      <c r="J10">
        <v>13607.31</v>
      </c>
      <c r="K10">
        <v>3548.66</v>
      </c>
      <c r="L10">
        <v>5053.74</v>
      </c>
      <c r="M10">
        <v>18348.22</v>
      </c>
      <c r="N10">
        <v>18052.7</v>
      </c>
      <c r="O10">
        <v>30993.27</v>
      </c>
      <c r="P10">
        <v>6700.92</v>
      </c>
      <c r="Q10">
        <v>8657.4599999999991</v>
      </c>
    </row>
    <row r="11" spans="1:17" x14ac:dyDescent="0.35">
      <c r="A11" t="s">
        <v>3</v>
      </c>
      <c r="B11" t="s">
        <v>37</v>
      </c>
      <c r="C11">
        <v>41160.15</v>
      </c>
      <c r="D11">
        <v>8150.32</v>
      </c>
      <c r="E11">
        <v>180452.84</v>
      </c>
      <c r="F11">
        <v>77726.66</v>
      </c>
      <c r="G11">
        <v>58871.28</v>
      </c>
      <c r="H11">
        <v>43873.42</v>
      </c>
      <c r="I11">
        <v>37589.11</v>
      </c>
      <c r="J11">
        <v>9972.49</v>
      </c>
      <c r="K11">
        <v>5606.15</v>
      </c>
      <c r="L11">
        <v>3924.2</v>
      </c>
      <c r="M11">
        <v>10737.74</v>
      </c>
      <c r="N11">
        <v>27739.11</v>
      </c>
      <c r="O11">
        <v>50133.95</v>
      </c>
      <c r="P11">
        <v>4411.83</v>
      </c>
      <c r="Q11">
        <v>4671.88</v>
      </c>
    </row>
    <row r="12" spans="1:17" x14ac:dyDescent="0.35">
      <c r="A12" t="s">
        <v>4</v>
      </c>
      <c r="B12" t="s">
        <v>33</v>
      </c>
      <c r="C12">
        <v>70413.289999999994</v>
      </c>
      <c r="D12">
        <v>5916.5</v>
      </c>
      <c r="E12">
        <v>96734.23</v>
      </c>
      <c r="F12">
        <v>89050.75</v>
      </c>
      <c r="G12">
        <v>59426.02</v>
      </c>
      <c r="H12">
        <v>22261.66</v>
      </c>
      <c r="I12">
        <v>58606.78</v>
      </c>
      <c r="J12">
        <v>12616.2</v>
      </c>
      <c r="K12">
        <v>5163.46</v>
      </c>
      <c r="L12">
        <v>6141.08</v>
      </c>
      <c r="M12">
        <v>17355.66</v>
      </c>
      <c r="N12">
        <v>28307.65</v>
      </c>
      <c r="O12">
        <v>56676.49</v>
      </c>
      <c r="P12">
        <v>8286.2000000000007</v>
      </c>
      <c r="Q12">
        <v>3541.74</v>
      </c>
    </row>
    <row r="13" spans="1:17" x14ac:dyDescent="0.35">
      <c r="A13" t="s">
        <v>4</v>
      </c>
      <c r="B13" t="s">
        <v>34</v>
      </c>
      <c r="C13">
        <v>66765.119999999995</v>
      </c>
      <c r="D13">
        <v>6566.24</v>
      </c>
      <c r="E13">
        <v>102977.78</v>
      </c>
      <c r="F13">
        <v>48669.760000000002</v>
      </c>
      <c r="G13">
        <v>43635.72</v>
      </c>
      <c r="H13">
        <v>35326.93</v>
      </c>
      <c r="I13">
        <v>25829.39</v>
      </c>
      <c r="J13">
        <v>10120.93</v>
      </c>
      <c r="K13">
        <v>5085.47</v>
      </c>
      <c r="L13">
        <v>5725.86</v>
      </c>
      <c r="M13">
        <v>13487.33</v>
      </c>
      <c r="N13">
        <v>29773.439999999999</v>
      </c>
      <c r="O13">
        <v>44336.77</v>
      </c>
      <c r="P13">
        <v>11493.84</v>
      </c>
      <c r="Q13">
        <v>3825.13</v>
      </c>
    </row>
    <row r="14" spans="1:17" x14ac:dyDescent="0.35">
      <c r="A14" t="s">
        <v>4</v>
      </c>
      <c r="B14" t="s">
        <v>35</v>
      </c>
      <c r="C14">
        <v>42053.32</v>
      </c>
      <c r="D14">
        <v>4907.79</v>
      </c>
      <c r="E14">
        <v>213704.04</v>
      </c>
      <c r="F14">
        <v>123960.54</v>
      </c>
      <c r="G14">
        <v>30317.67</v>
      </c>
      <c r="H14">
        <v>34799.519999999997</v>
      </c>
      <c r="I14">
        <v>65861.11</v>
      </c>
      <c r="J14">
        <v>10552.01</v>
      </c>
      <c r="K14">
        <v>7207.55</v>
      </c>
      <c r="L14">
        <v>3709.26</v>
      </c>
      <c r="M14">
        <v>11862.06</v>
      </c>
      <c r="N14">
        <v>34930.39</v>
      </c>
      <c r="O14">
        <v>70020.899999999994</v>
      </c>
      <c r="P14">
        <v>9064.81</v>
      </c>
      <c r="Q14">
        <v>5034.18</v>
      </c>
    </row>
    <row r="15" spans="1:17" x14ac:dyDescent="0.35">
      <c r="A15" t="s">
        <v>4</v>
      </c>
      <c r="B15" t="s">
        <v>36</v>
      </c>
      <c r="C15">
        <v>42460.480000000003</v>
      </c>
      <c r="D15">
        <v>9807.65</v>
      </c>
      <c r="E15">
        <v>209566.54</v>
      </c>
      <c r="F15">
        <v>124837.78</v>
      </c>
      <c r="G15">
        <v>51195.02</v>
      </c>
      <c r="H15">
        <v>34260.949999999997</v>
      </c>
      <c r="I15">
        <v>29207</v>
      </c>
      <c r="J15">
        <v>6616.29</v>
      </c>
      <c r="K15">
        <v>9789.8799999999992</v>
      </c>
      <c r="L15">
        <v>5532.15</v>
      </c>
      <c r="M15">
        <v>10183.94</v>
      </c>
      <c r="N15">
        <v>15036.79</v>
      </c>
      <c r="O15">
        <v>58175.09</v>
      </c>
      <c r="P15">
        <v>4040.49</v>
      </c>
      <c r="Q15">
        <v>3964.85</v>
      </c>
    </row>
    <row r="16" spans="1:17" x14ac:dyDescent="0.35">
      <c r="A16" t="s">
        <v>4</v>
      </c>
      <c r="B16" t="s">
        <v>37</v>
      </c>
      <c r="C16">
        <v>52436.69</v>
      </c>
      <c r="D16">
        <v>9535.16</v>
      </c>
      <c r="E16">
        <v>172794.19</v>
      </c>
      <c r="F16">
        <v>65184.24</v>
      </c>
      <c r="G16">
        <v>48487.17</v>
      </c>
      <c r="H16">
        <v>22117.47</v>
      </c>
      <c r="I16">
        <v>41269.980000000003</v>
      </c>
      <c r="J16">
        <v>12464.91</v>
      </c>
      <c r="K16">
        <v>8047.43</v>
      </c>
      <c r="L16">
        <v>6746.12</v>
      </c>
      <c r="M16">
        <v>23152.26</v>
      </c>
      <c r="N16">
        <v>26707.72</v>
      </c>
      <c r="O16">
        <v>29683.74</v>
      </c>
      <c r="P16">
        <v>6941.73</v>
      </c>
      <c r="Q16">
        <v>4591.21</v>
      </c>
    </row>
    <row r="17" spans="1:17" x14ac:dyDescent="0.35">
      <c r="A17" t="s">
        <v>5</v>
      </c>
      <c r="B17" t="s">
        <v>33</v>
      </c>
      <c r="C17">
        <v>37199.480000000003</v>
      </c>
      <c r="D17">
        <v>11784.08</v>
      </c>
      <c r="E17">
        <v>133964.66</v>
      </c>
      <c r="F17">
        <v>125284.19</v>
      </c>
      <c r="G17">
        <v>45245.55</v>
      </c>
      <c r="H17">
        <v>38844.339999999997</v>
      </c>
      <c r="I17">
        <v>50131.85</v>
      </c>
      <c r="J17">
        <v>10769.04</v>
      </c>
      <c r="K17">
        <v>6947.62</v>
      </c>
      <c r="L17">
        <v>3476.21</v>
      </c>
      <c r="M17">
        <v>24449.040000000001</v>
      </c>
      <c r="N17">
        <v>19519.310000000001</v>
      </c>
      <c r="O17">
        <v>26215.8</v>
      </c>
      <c r="P17">
        <v>9163.7800000000007</v>
      </c>
      <c r="Q17">
        <v>4062.66</v>
      </c>
    </row>
    <row r="18" spans="1:17" x14ac:dyDescent="0.35">
      <c r="A18" t="s">
        <v>5</v>
      </c>
      <c r="B18" t="s">
        <v>34</v>
      </c>
      <c r="C18">
        <v>72022.929999999993</v>
      </c>
      <c r="D18">
        <v>11631.43</v>
      </c>
      <c r="E18">
        <v>212229.66</v>
      </c>
      <c r="F18">
        <v>78314.28</v>
      </c>
      <c r="G18">
        <v>20618.259999999998</v>
      </c>
      <c r="H18">
        <v>42849.56</v>
      </c>
      <c r="I18">
        <v>46409.21</v>
      </c>
      <c r="J18">
        <v>14666.55</v>
      </c>
      <c r="K18">
        <v>10245.34</v>
      </c>
      <c r="L18">
        <v>6765.05</v>
      </c>
      <c r="M18">
        <v>15888.98</v>
      </c>
      <c r="N18">
        <v>22127.439999999999</v>
      </c>
      <c r="O18">
        <v>67556.83</v>
      </c>
      <c r="P18">
        <v>6535.38</v>
      </c>
      <c r="Q18">
        <v>4016.96</v>
      </c>
    </row>
    <row r="19" spans="1:17" x14ac:dyDescent="0.35">
      <c r="A19" t="s">
        <v>5</v>
      </c>
      <c r="B19" t="s">
        <v>35</v>
      </c>
      <c r="C19">
        <v>52840.06</v>
      </c>
      <c r="D19">
        <v>11489.24</v>
      </c>
      <c r="E19">
        <v>179404.47</v>
      </c>
      <c r="F19">
        <v>96305.51</v>
      </c>
      <c r="G19">
        <v>23887.06</v>
      </c>
      <c r="H19">
        <v>33450.22</v>
      </c>
      <c r="I19">
        <v>74502.69</v>
      </c>
      <c r="J19">
        <v>6400.84</v>
      </c>
      <c r="K19">
        <v>7128.31</v>
      </c>
      <c r="L19">
        <v>6886.87</v>
      </c>
      <c r="M19">
        <v>24815.37</v>
      </c>
      <c r="N19">
        <v>29925.39</v>
      </c>
      <c r="O19">
        <v>60124.2</v>
      </c>
      <c r="P19">
        <v>6875.93</v>
      </c>
      <c r="Q19">
        <v>4761.55</v>
      </c>
    </row>
    <row r="20" spans="1:17" x14ac:dyDescent="0.35">
      <c r="A20" t="s">
        <v>5</v>
      </c>
      <c r="B20" t="s">
        <v>36</v>
      </c>
      <c r="C20">
        <v>65468.06</v>
      </c>
      <c r="D20">
        <v>10480.91</v>
      </c>
      <c r="E20">
        <v>205060.85</v>
      </c>
      <c r="F20">
        <v>127191.65</v>
      </c>
      <c r="G20">
        <v>40453.699999999997</v>
      </c>
      <c r="H20">
        <v>30045.49</v>
      </c>
      <c r="I20">
        <v>64914.76</v>
      </c>
      <c r="J20">
        <v>11499.64</v>
      </c>
      <c r="K20">
        <v>8413.77</v>
      </c>
      <c r="L20">
        <v>6478.96</v>
      </c>
      <c r="M20">
        <v>27800.11</v>
      </c>
      <c r="N20">
        <v>20949.88</v>
      </c>
      <c r="O20">
        <v>43779.15</v>
      </c>
      <c r="P20">
        <v>4751.8599999999997</v>
      </c>
      <c r="Q20">
        <v>6469.68</v>
      </c>
    </row>
    <row r="21" spans="1:17" x14ac:dyDescent="0.35">
      <c r="A21" t="s">
        <v>5</v>
      </c>
      <c r="B21" t="s">
        <v>37</v>
      </c>
      <c r="C21">
        <v>26797.11</v>
      </c>
      <c r="D21">
        <v>7724.78</v>
      </c>
      <c r="E21">
        <v>156396.70000000001</v>
      </c>
      <c r="F21">
        <v>70788.710000000006</v>
      </c>
      <c r="G21">
        <v>43633.33</v>
      </c>
      <c r="H21">
        <v>15915.01</v>
      </c>
      <c r="I21">
        <v>26867.41</v>
      </c>
      <c r="J21">
        <v>13226.01</v>
      </c>
      <c r="K21">
        <v>6021.33</v>
      </c>
      <c r="L21">
        <v>3135.3</v>
      </c>
      <c r="M21">
        <v>20444.87</v>
      </c>
      <c r="N21">
        <v>31749.84</v>
      </c>
      <c r="O21">
        <v>35791.050000000003</v>
      </c>
      <c r="P21">
        <v>8983.1200000000008</v>
      </c>
      <c r="Q21">
        <v>3512.08</v>
      </c>
    </row>
    <row r="22" spans="1:17" x14ac:dyDescent="0.35">
      <c r="A22" t="s">
        <v>6</v>
      </c>
      <c r="B22" t="s">
        <v>33</v>
      </c>
      <c r="C22">
        <v>27584.09</v>
      </c>
      <c r="D22">
        <v>8250.84</v>
      </c>
      <c r="E22">
        <v>156095.26999999999</v>
      </c>
      <c r="F22">
        <v>102368.69</v>
      </c>
      <c r="G22">
        <v>49043.65</v>
      </c>
      <c r="H22">
        <v>44275.56</v>
      </c>
      <c r="I22">
        <v>50815.02</v>
      </c>
      <c r="J22">
        <v>8229.56</v>
      </c>
      <c r="K22">
        <v>9066.2999999999993</v>
      </c>
      <c r="L22">
        <v>3854.16</v>
      </c>
      <c r="M22">
        <v>18779.43</v>
      </c>
      <c r="N22">
        <v>14461.41</v>
      </c>
      <c r="O22">
        <v>26267.54</v>
      </c>
      <c r="P22">
        <v>11701.19</v>
      </c>
      <c r="Q22">
        <v>8015.88</v>
      </c>
    </row>
    <row r="23" spans="1:17" x14ac:dyDescent="0.35">
      <c r="A23" t="s">
        <v>6</v>
      </c>
      <c r="B23" t="s">
        <v>34</v>
      </c>
      <c r="C23">
        <v>59798.71</v>
      </c>
      <c r="D23">
        <v>7271.62</v>
      </c>
      <c r="E23">
        <v>100994.15</v>
      </c>
      <c r="F23">
        <v>59079.33</v>
      </c>
      <c r="G23">
        <v>30009.72</v>
      </c>
      <c r="H23">
        <v>31476.799999999999</v>
      </c>
      <c r="I23">
        <v>60729.8</v>
      </c>
      <c r="J23">
        <v>11601.97</v>
      </c>
      <c r="K23">
        <v>5459.54</v>
      </c>
      <c r="L23">
        <v>7274.33</v>
      </c>
      <c r="M23">
        <v>24757.94</v>
      </c>
      <c r="N23">
        <v>26358.85</v>
      </c>
      <c r="O23">
        <v>55586.04</v>
      </c>
      <c r="P23">
        <v>7356.8</v>
      </c>
      <c r="Q23">
        <v>4486.3900000000003</v>
      </c>
    </row>
    <row r="24" spans="1:17" x14ac:dyDescent="0.35">
      <c r="A24" t="s">
        <v>6</v>
      </c>
      <c r="B24" t="s">
        <v>35</v>
      </c>
      <c r="C24">
        <v>42798.63</v>
      </c>
      <c r="D24">
        <v>10062.77</v>
      </c>
      <c r="E24">
        <v>77159.02</v>
      </c>
      <c r="F24">
        <v>55446.54</v>
      </c>
      <c r="G24">
        <v>21840.11</v>
      </c>
      <c r="H24">
        <v>16221.86</v>
      </c>
      <c r="I24">
        <v>67773.03</v>
      </c>
      <c r="J24">
        <v>12036.58</v>
      </c>
      <c r="K24">
        <v>6819.22</v>
      </c>
      <c r="L24">
        <v>2989.17</v>
      </c>
      <c r="M24">
        <v>19832.32</v>
      </c>
      <c r="N24">
        <v>24336.79</v>
      </c>
      <c r="O24">
        <v>33660.089999999997</v>
      </c>
      <c r="P24">
        <v>7470.81</v>
      </c>
      <c r="Q24">
        <v>5391.03</v>
      </c>
    </row>
    <row r="25" spans="1:17" x14ac:dyDescent="0.35">
      <c r="A25" t="s">
        <v>6</v>
      </c>
      <c r="B25" t="s">
        <v>36</v>
      </c>
      <c r="C25">
        <v>55792.5</v>
      </c>
      <c r="D25">
        <v>9080.75</v>
      </c>
      <c r="E25">
        <v>81795.600000000006</v>
      </c>
      <c r="F25">
        <v>78715.14</v>
      </c>
      <c r="G25">
        <v>45034.400000000001</v>
      </c>
      <c r="H25">
        <v>30094.09</v>
      </c>
      <c r="I25">
        <v>67824.490000000005</v>
      </c>
      <c r="J25">
        <v>11586.94</v>
      </c>
      <c r="K25">
        <v>4640.54</v>
      </c>
      <c r="L25">
        <v>2852.84</v>
      </c>
      <c r="M25">
        <v>22848.39</v>
      </c>
      <c r="N25">
        <v>13162.78</v>
      </c>
      <c r="O25">
        <v>54288.78</v>
      </c>
      <c r="P25">
        <v>11521.84</v>
      </c>
      <c r="Q25">
        <v>6452.85</v>
      </c>
    </row>
    <row r="26" spans="1:17" x14ac:dyDescent="0.35">
      <c r="A26" t="s">
        <v>6</v>
      </c>
      <c r="B26" t="s">
        <v>37</v>
      </c>
      <c r="C26">
        <v>44408.5</v>
      </c>
      <c r="D26">
        <v>9146.31</v>
      </c>
      <c r="E26">
        <v>143737.93</v>
      </c>
      <c r="F26">
        <v>94105.51</v>
      </c>
      <c r="G26">
        <v>57658.59</v>
      </c>
      <c r="H26">
        <v>26583.08</v>
      </c>
      <c r="I26">
        <v>73059.53</v>
      </c>
      <c r="J26">
        <v>14053.51</v>
      </c>
      <c r="K26">
        <v>4870.54</v>
      </c>
      <c r="L26">
        <v>2846.81</v>
      </c>
      <c r="M26">
        <v>12015.56</v>
      </c>
      <c r="N26">
        <v>12955.55</v>
      </c>
      <c r="O26">
        <v>29722.15</v>
      </c>
      <c r="P26">
        <v>9464.0499999999993</v>
      </c>
      <c r="Q26">
        <v>3427.13</v>
      </c>
    </row>
    <row r="27" spans="1:17" x14ac:dyDescent="0.35">
      <c r="A27" t="s">
        <v>7</v>
      </c>
      <c r="B27" t="s">
        <v>33</v>
      </c>
      <c r="C27">
        <v>40948.78</v>
      </c>
      <c r="D27">
        <v>10759</v>
      </c>
      <c r="E27">
        <v>78490.789999999994</v>
      </c>
      <c r="F27">
        <v>118302.16</v>
      </c>
      <c r="G27">
        <v>31274.19</v>
      </c>
      <c r="H27">
        <v>18544.939999999999</v>
      </c>
      <c r="I27">
        <v>59836.86</v>
      </c>
      <c r="J27">
        <v>11289.43</v>
      </c>
      <c r="K27">
        <v>9642.2999999999993</v>
      </c>
      <c r="L27">
        <v>6175.36</v>
      </c>
      <c r="M27">
        <v>26069.62</v>
      </c>
      <c r="N27">
        <v>19550.86</v>
      </c>
      <c r="O27">
        <v>33871.980000000003</v>
      </c>
      <c r="P27">
        <v>10004.92</v>
      </c>
      <c r="Q27">
        <v>7841.01</v>
      </c>
    </row>
    <row r="28" spans="1:17" x14ac:dyDescent="0.35">
      <c r="A28" t="s">
        <v>7</v>
      </c>
      <c r="B28" t="s">
        <v>34</v>
      </c>
      <c r="C28">
        <v>74525.259999999995</v>
      </c>
      <c r="D28">
        <v>7300.94</v>
      </c>
      <c r="E28">
        <v>130802.71</v>
      </c>
      <c r="F28">
        <v>114877.17</v>
      </c>
      <c r="G28">
        <v>33632.14</v>
      </c>
      <c r="H28">
        <v>42922.720000000001</v>
      </c>
      <c r="I28">
        <v>67920.639999999999</v>
      </c>
      <c r="J28">
        <v>9289.94</v>
      </c>
      <c r="K28">
        <v>8756.1</v>
      </c>
      <c r="L28">
        <v>6272.71</v>
      </c>
      <c r="M28">
        <v>12062.48</v>
      </c>
      <c r="N28">
        <v>35063.82</v>
      </c>
      <c r="O28">
        <v>50262.62</v>
      </c>
      <c r="P28">
        <v>10611.66</v>
      </c>
      <c r="Q28">
        <v>4920.3</v>
      </c>
    </row>
    <row r="29" spans="1:17" x14ac:dyDescent="0.35">
      <c r="A29" t="s">
        <v>7</v>
      </c>
      <c r="B29" t="s">
        <v>35</v>
      </c>
      <c r="C29">
        <v>69776.160000000003</v>
      </c>
      <c r="D29">
        <v>7113.61</v>
      </c>
      <c r="E29">
        <v>76625.649999999994</v>
      </c>
      <c r="F29">
        <v>126484.38</v>
      </c>
      <c r="G29">
        <v>23651.47</v>
      </c>
      <c r="H29">
        <v>24579.41</v>
      </c>
      <c r="I29">
        <v>72503.100000000006</v>
      </c>
      <c r="J29">
        <v>14506.07</v>
      </c>
      <c r="K29">
        <v>7514.07</v>
      </c>
      <c r="L29">
        <v>5659.19</v>
      </c>
      <c r="M29">
        <v>18968.91</v>
      </c>
      <c r="N29">
        <v>19830.27</v>
      </c>
      <c r="O29">
        <v>41433.230000000003</v>
      </c>
      <c r="P29">
        <v>9380.15</v>
      </c>
      <c r="Q29">
        <v>7514.25</v>
      </c>
    </row>
    <row r="30" spans="1:17" x14ac:dyDescent="0.35">
      <c r="A30" t="s">
        <v>7</v>
      </c>
      <c r="B30" t="s">
        <v>36</v>
      </c>
      <c r="C30">
        <v>64578.95</v>
      </c>
      <c r="D30">
        <v>10316.950000000001</v>
      </c>
      <c r="E30">
        <v>88680.92</v>
      </c>
      <c r="F30">
        <v>89497.83</v>
      </c>
      <c r="G30">
        <v>22302.35</v>
      </c>
      <c r="H30">
        <v>31485.87</v>
      </c>
      <c r="I30">
        <v>47076.53</v>
      </c>
      <c r="J30">
        <v>13877.04</v>
      </c>
      <c r="K30">
        <v>5956.41</v>
      </c>
      <c r="L30">
        <v>3085.34</v>
      </c>
      <c r="M30">
        <v>12859.83</v>
      </c>
      <c r="N30">
        <v>31537.77</v>
      </c>
      <c r="O30">
        <v>55910.9</v>
      </c>
      <c r="P30">
        <v>4808.9799999999996</v>
      </c>
      <c r="Q30">
        <v>3504.64</v>
      </c>
    </row>
    <row r="31" spans="1:17" x14ac:dyDescent="0.35">
      <c r="A31" t="s">
        <v>7</v>
      </c>
      <c r="B31" t="s">
        <v>37</v>
      </c>
      <c r="C31">
        <v>60048.46</v>
      </c>
      <c r="D31">
        <v>4582.1000000000004</v>
      </c>
      <c r="E31">
        <v>198279.01</v>
      </c>
      <c r="F31">
        <v>108561.8</v>
      </c>
      <c r="G31">
        <v>23253.95</v>
      </c>
      <c r="H31">
        <v>17545.13</v>
      </c>
      <c r="I31">
        <v>74331.98</v>
      </c>
      <c r="J31">
        <v>8742.7099999999991</v>
      </c>
      <c r="K31">
        <v>6094.5</v>
      </c>
      <c r="L31">
        <v>6564</v>
      </c>
      <c r="M31">
        <v>28944.97</v>
      </c>
      <c r="N31">
        <v>37150.03</v>
      </c>
      <c r="O31">
        <v>62668.91</v>
      </c>
      <c r="P31">
        <v>7010.08</v>
      </c>
      <c r="Q31">
        <v>3501</v>
      </c>
    </row>
    <row r="32" spans="1:17" x14ac:dyDescent="0.35">
      <c r="A32" t="s">
        <v>8</v>
      </c>
      <c r="B32" t="s">
        <v>33</v>
      </c>
      <c r="C32">
        <v>63857.35</v>
      </c>
      <c r="D32">
        <v>8467.23</v>
      </c>
      <c r="E32">
        <v>138633.29999999999</v>
      </c>
      <c r="F32">
        <v>126571.89</v>
      </c>
      <c r="G32">
        <v>24447.9</v>
      </c>
      <c r="H32">
        <v>29778.75</v>
      </c>
      <c r="I32">
        <v>25567.68</v>
      </c>
      <c r="J32">
        <v>9686.61</v>
      </c>
      <c r="K32">
        <v>3894.12</v>
      </c>
      <c r="L32">
        <v>3094.09</v>
      </c>
      <c r="M32">
        <v>12350.52</v>
      </c>
      <c r="N32">
        <v>28730.26</v>
      </c>
      <c r="O32">
        <v>62302.239999999998</v>
      </c>
      <c r="P32">
        <v>8666.9500000000007</v>
      </c>
      <c r="Q32">
        <v>8773.0400000000009</v>
      </c>
    </row>
    <row r="33" spans="1:17" x14ac:dyDescent="0.35">
      <c r="A33" t="s">
        <v>8</v>
      </c>
      <c r="B33" t="s">
        <v>34</v>
      </c>
      <c r="C33">
        <v>43743.53</v>
      </c>
      <c r="D33">
        <v>6285.7</v>
      </c>
      <c r="E33">
        <v>205289.87</v>
      </c>
      <c r="F33">
        <v>65123.63</v>
      </c>
      <c r="G33">
        <v>58528.9</v>
      </c>
      <c r="H33">
        <v>15364.63</v>
      </c>
      <c r="I33">
        <v>73493.94</v>
      </c>
      <c r="J33">
        <v>5431.6</v>
      </c>
      <c r="K33">
        <v>9738</v>
      </c>
      <c r="L33">
        <v>5138.51</v>
      </c>
      <c r="M33">
        <v>29859.3</v>
      </c>
      <c r="N33">
        <v>14344.91</v>
      </c>
      <c r="O33">
        <v>52692.71</v>
      </c>
      <c r="P33">
        <v>11754.42</v>
      </c>
      <c r="Q33">
        <v>6138.59</v>
      </c>
    </row>
    <row r="34" spans="1:17" x14ac:dyDescent="0.35">
      <c r="A34" t="s">
        <v>8</v>
      </c>
      <c r="B34" t="s">
        <v>35</v>
      </c>
      <c r="C34">
        <v>56469.93</v>
      </c>
      <c r="D34">
        <v>9565.99</v>
      </c>
      <c r="E34">
        <v>143181.16</v>
      </c>
      <c r="F34">
        <v>101480.23</v>
      </c>
      <c r="G34">
        <v>43372.57</v>
      </c>
      <c r="H34">
        <v>42034.74</v>
      </c>
      <c r="I34">
        <v>27272.32</v>
      </c>
      <c r="J34">
        <v>7809.63</v>
      </c>
      <c r="K34">
        <v>10152.879999999999</v>
      </c>
      <c r="L34">
        <v>6951.32</v>
      </c>
      <c r="M34">
        <v>19113.14</v>
      </c>
      <c r="N34">
        <v>28003.31</v>
      </c>
      <c r="O34">
        <v>38869.06</v>
      </c>
      <c r="P34">
        <v>5504.97</v>
      </c>
      <c r="Q34">
        <v>5782.19</v>
      </c>
    </row>
    <row r="35" spans="1:17" x14ac:dyDescent="0.35">
      <c r="A35" t="s">
        <v>8</v>
      </c>
      <c r="B35" t="s">
        <v>36</v>
      </c>
      <c r="C35">
        <v>42667.61</v>
      </c>
      <c r="D35">
        <v>8669.25</v>
      </c>
      <c r="E35">
        <v>86660.2</v>
      </c>
      <c r="F35">
        <v>132695.53</v>
      </c>
      <c r="G35">
        <v>59448.43</v>
      </c>
      <c r="H35">
        <v>35944.85</v>
      </c>
      <c r="I35">
        <v>51804.82</v>
      </c>
      <c r="J35">
        <v>8095.28</v>
      </c>
      <c r="K35">
        <v>9196.57</v>
      </c>
      <c r="L35">
        <v>5923.66</v>
      </c>
      <c r="M35">
        <v>13252.34</v>
      </c>
      <c r="N35">
        <v>35273.18</v>
      </c>
      <c r="O35">
        <v>66126.86</v>
      </c>
      <c r="P35">
        <v>11598.4</v>
      </c>
      <c r="Q35">
        <v>7354.32</v>
      </c>
    </row>
    <row r="36" spans="1:17" x14ac:dyDescent="0.35">
      <c r="A36" t="s">
        <v>8</v>
      </c>
      <c r="B36" t="s">
        <v>37</v>
      </c>
      <c r="C36">
        <v>55670.76</v>
      </c>
      <c r="D36">
        <v>7345.94</v>
      </c>
      <c r="E36">
        <v>214909.27</v>
      </c>
      <c r="F36">
        <v>122945.75</v>
      </c>
      <c r="G36">
        <v>21808.75</v>
      </c>
      <c r="H36">
        <v>15791.01</v>
      </c>
      <c r="I36">
        <v>43823.17</v>
      </c>
      <c r="J36">
        <v>13105.53</v>
      </c>
      <c r="K36">
        <v>10410.93</v>
      </c>
      <c r="L36">
        <v>3252.08</v>
      </c>
      <c r="M36">
        <v>21882.61</v>
      </c>
      <c r="N36">
        <v>22022.27</v>
      </c>
      <c r="O36">
        <v>73495.72</v>
      </c>
      <c r="P36">
        <v>10736.95</v>
      </c>
      <c r="Q36">
        <v>8029.97</v>
      </c>
    </row>
    <row r="37" spans="1:17" x14ac:dyDescent="0.35">
      <c r="A37" t="s">
        <v>9</v>
      </c>
      <c r="B37" t="s">
        <v>33</v>
      </c>
      <c r="C37">
        <v>48434.66</v>
      </c>
      <c r="D37">
        <v>7318.56</v>
      </c>
      <c r="E37">
        <v>116011.06</v>
      </c>
      <c r="F37">
        <v>50073.79</v>
      </c>
      <c r="G37">
        <v>54588.9</v>
      </c>
      <c r="H37">
        <v>39387.03</v>
      </c>
      <c r="I37">
        <v>74985.88</v>
      </c>
      <c r="J37">
        <v>14966.37</v>
      </c>
      <c r="K37">
        <v>7388.02</v>
      </c>
      <c r="L37">
        <v>6344.94</v>
      </c>
      <c r="M37">
        <v>28895.31</v>
      </c>
      <c r="N37">
        <v>33741.18</v>
      </c>
      <c r="O37">
        <v>37367.410000000003</v>
      </c>
      <c r="P37">
        <v>7604.35</v>
      </c>
      <c r="Q37">
        <v>3774.96</v>
      </c>
    </row>
    <row r="38" spans="1:17" x14ac:dyDescent="0.35">
      <c r="A38" t="s">
        <v>9</v>
      </c>
      <c r="B38" t="s">
        <v>34</v>
      </c>
      <c r="C38">
        <v>72702.55</v>
      </c>
      <c r="D38">
        <v>8849.4</v>
      </c>
      <c r="E38">
        <v>109296.42</v>
      </c>
      <c r="F38">
        <v>105453.06</v>
      </c>
      <c r="G38">
        <v>44725.13</v>
      </c>
      <c r="H38">
        <v>25744.880000000001</v>
      </c>
      <c r="I38">
        <v>30677.88</v>
      </c>
      <c r="J38">
        <v>11715.73</v>
      </c>
      <c r="K38">
        <v>7142.15</v>
      </c>
      <c r="L38">
        <v>6361.59</v>
      </c>
      <c r="M38">
        <v>20403.27</v>
      </c>
      <c r="N38">
        <v>33804.54</v>
      </c>
      <c r="O38">
        <v>52595.34</v>
      </c>
      <c r="P38">
        <v>8487.5</v>
      </c>
      <c r="Q38">
        <v>8259.92</v>
      </c>
    </row>
    <row r="39" spans="1:17" x14ac:dyDescent="0.35">
      <c r="A39" t="s">
        <v>9</v>
      </c>
      <c r="B39" t="s">
        <v>35</v>
      </c>
      <c r="C39">
        <v>45174.14</v>
      </c>
      <c r="D39">
        <v>5072.12</v>
      </c>
      <c r="E39">
        <v>79317.399999999994</v>
      </c>
      <c r="F39">
        <v>112962.35</v>
      </c>
      <c r="G39">
        <v>44812.38</v>
      </c>
      <c r="H39">
        <v>36122.39</v>
      </c>
      <c r="I39">
        <v>35648.21</v>
      </c>
      <c r="J39">
        <v>6363.71</v>
      </c>
      <c r="K39">
        <v>3601.81</v>
      </c>
      <c r="L39">
        <v>4252.9399999999996</v>
      </c>
      <c r="M39">
        <v>21798.35</v>
      </c>
      <c r="N39">
        <v>22306.1</v>
      </c>
      <c r="O39">
        <v>46873.75</v>
      </c>
      <c r="P39">
        <v>11233.27</v>
      </c>
      <c r="Q39">
        <v>5089.53</v>
      </c>
    </row>
    <row r="40" spans="1:17" x14ac:dyDescent="0.35">
      <c r="A40" t="s">
        <v>9</v>
      </c>
      <c r="B40" t="s">
        <v>36</v>
      </c>
      <c r="C40">
        <v>50699.47</v>
      </c>
      <c r="D40">
        <v>10269.219999999999</v>
      </c>
      <c r="E40">
        <v>134481.42000000001</v>
      </c>
      <c r="F40">
        <v>100987.8</v>
      </c>
      <c r="G40">
        <v>54494.55</v>
      </c>
      <c r="H40">
        <v>43485.62</v>
      </c>
      <c r="I40">
        <v>32353.67</v>
      </c>
      <c r="J40">
        <v>14265.88</v>
      </c>
      <c r="K40">
        <v>6944.81</v>
      </c>
      <c r="L40">
        <v>3791.22</v>
      </c>
      <c r="M40">
        <v>19182.72</v>
      </c>
      <c r="N40">
        <v>37000.81</v>
      </c>
      <c r="O40">
        <v>49630.9</v>
      </c>
      <c r="P40">
        <v>6630.01</v>
      </c>
      <c r="Q40">
        <v>6800.41</v>
      </c>
    </row>
    <row r="41" spans="1:17" x14ac:dyDescent="0.35">
      <c r="A41" t="s">
        <v>9</v>
      </c>
      <c r="B41" t="s">
        <v>37</v>
      </c>
      <c r="C41">
        <v>37007.279999999999</v>
      </c>
      <c r="D41">
        <v>4606.91</v>
      </c>
      <c r="E41">
        <v>94331.96</v>
      </c>
      <c r="F41">
        <v>56524.13</v>
      </c>
      <c r="G41">
        <v>26076.11</v>
      </c>
      <c r="H41">
        <v>19164.82</v>
      </c>
      <c r="I41">
        <v>57043.74</v>
      </c>
      <c r="J41">
        <v>6818.8</v>
      </c>
      <c r="K41">
        <v>5919.67</v>
      </c>
      <c r="L41">
        <v>6983.94</v>
      </c>
      <c r="M41">
        <v>19479.23</v>
      </c>
      <c r="N41">
        <v>29188.94</v>
      </c>
      <c r="O41">
        <v>33615.99</v>
      </c>
      <c r="P41">
        <v>5538.31</v>
      </c>
      <c r="Q41">
        <v>3245.21</v>
      </c>
    </row>
    <row r="42" spans="1:17" x14ac:dyDescent="0.35">
      <c r="A42" t="s">
        <v>10</v>
      </c>
      <c r="B42" t="s">
        <v>33</v>
      </c>
      <c r="C42">
        <v>33446.75</v>
      </c>
      <c r="D42">
        <v>6228.72</v>
      </c>
      <c r="E42">
        <v>101551.57</v>
      </c>
      <c r="F42">
        <v>52983.23</v>
      </c>
      <c r="G42">
        <v>24825.43</v>
      </c>
      <c r="H42">
        <v>28823.360000000001</v>
      </c>
      <c r="I42">
        <v>35316.69</v>
      </c>
      <c r="J42">
        <v>8642.7000000000007</v>
      </c>
      <c r="K42">
        <v>7023.92</v>
      </c>
      <c r="L42">
        <v>5951.97</v>
      </c>
      <c r="M42">
        <v>10786.24</v>
      </c>
      <c r="N42">
        <v>32485.26</v>
      </c>
      <c r="O42">
        <v>56395.02</v>
      </c>
      <c r="P42">
        <v>4654.07</v>
      </c>
      <c r="Q42">
        <v>8241.4699999999993</v>
      </c>
    </row>
    <row r="43" spans="1:17" x14ac:dyDescent="0.35">
      <c r="A43" t="s">
        <v>10</v>
      </c>
      <c r="B43" t="s">
        <v>34</v>
      </c>
      <c r="C43">
        <v>71043.62</v>
      </c>
      <c r="D43">
        <v>4488.62</v>
      </c>
      <c r="E43">
        <v>116531.65</v>
      </c>
      <c r="F43">
        <v>117558.12</v>
      </c>
      <c r="G43">
        <v>49930.39</v>
      </c>
      <c r="H43">
        <v>20535.63</v>
      </c>
      <c r="I43">
        <v>35467.47</v>
      </c>
      <c r="J43">
        <v>8704.7199999999993</v>
      </c>
      <c r="K43">
        <v>6891.66</v>
      </c>
      <c r="L43">
        <v>5591.27</v>
      </c>
      <c r="M43">
        <v>17378.27</v>
      </c>
      <c r="N43">
        <v>24063.37</v>
      </c>
      <c r="O43">
        <v>62373.55</v>
      </c>
      <c r="P43">
        <v>4293.47</v>
      </c>
      <c r="Q43">
        <v>4514.62</v>
      </c>
    </row>
    <row r="44" spans="1:17" x14ac:dyDescent="0.35">
      <c r="A44" t="s">
        <v>10</v>
      </c>
      <c r="B44" t="s">
        <v>35</v>
      </c>
      <c r="C44">
        <v>60667.48</v>
      </c>
      <c r="D44">
        <v>11161.65</v>
      </c>
      <c r="E44">
        <v>151751.62</v>
      </c>
      <c r="F44">
        <v>92890.21</v>
      </c>
      <c r="G44">
        <v>24286.880000000001</v>
      </c>
      <c r="H44">
        <v>28422.37</v>
      </c>
      <c r="I44">
        <v>51630.86</v>
      </c>
      <c r="J44">
        <v>7424.71</v>
      </c>
      <c r="K44">
        <v>5384.7</v>
      </c>
      <c r="L44">
        <v>4386.42</v>
      </c>
      <c r="M44">
        <v>10401.42</v>
      </c>
      <c r="N44">
        <v>20551.98</v>
      </c>
      <c r="O44">
        <v>35572.400000000001</v>
      </c>
      <c r="P44">
        <v>6619.98</v>
      </c>
      <c r="Q44">
        <v>3718.57</v>
      </c>
    </row>
    <row r="45" spans="1:17" x14ac:dyDescent="0.35">
      <c r="A45" t="s">
        <v>10</v>
      </c>
      <c r="B45" t="s">
        <v>36</v>
      </c>
      <c r="C45">
        <v>69526.36</v>
      </c>
      <c r="D45">
        <v>8748.74</v>
      </c>
      <c r="E45">
        <v>176865.35</v>
      </c>
      <c r="F45">
        <v>116025.41</v>
      </c>
      <c r="G45">
        <v>39937.69</v>
      </c>
      <c r="H45">
        <v>17607.61</v>
      </c>
      <c r="I45">
        <v>51855.33</v>
      </c>
      <c r="J45">
        <v>10868.41</v>
      </c>
      <c r="K45">
        <v>8718.08</v>
      </c>
      <c r="L45">
        <v>4658.3</v>
      </c>
      <c r="M45">
        <v>12551.61</v>
      </c>
      <c r="N45">
        <v>19594.400000000001</v>
      </c>
      <c r="O45">
        <v>43154.11</v>
      </c>
      <c r="P45">
        <v>9167.34</v>
      </c>
      <c r="Q45">
        <v>6424.67</v>
      </c>
    </row>
    <row r="46" spans="1:17" x14ac:dyDescent="0.35">
      <c r="A46" t="s">
        <v>10</v>
      </c>
      <c r="B46" t="s">
        <v>37</v>
      </c>
      <c r="C46">
        <v>42804.84</v>
      </c>
      <c r="D46">
        <v>11892.12</v>
      </c>
      <c r="E46">
        <v>165866.22</v>
      </c>
      <c r="F46">
        <v>66350.41</v>
      </c>
      <c r="G46">
        <v>24071.3</v>
      </c>
      <c r="H46">
        <v>19585.77</v>
      </c>
      <c r="I46">
        <v>37297.89</v>
      </c>
      <c r="J46">
        <v>6606.81</v>
      </c>
      <c r="K46">
        <v>4805.97</v>
      </c>
      <c r="L46">
        <v>3925.48</v>
      </c>
      <c r="M46">
        <v>13467.47</v>
      </c>
      <c r="N46">
        <v>34919.14</v>
      </c>
      <c r="O46">
        <v>29011.69</v>
      </c>
      <c r="P46">
        <v>8196.09</v>
      </c>
      <c r="Q46">
        <v>5462.38</v>
      </c>
    </row>
    <row r="47" spans="1:17" x14ac:dyDescent="0.35">
      <c r="A47" t="s">
        <v>11</v>
      </c>
      <c r="B47" t="s">
        <v>33</v>
      </c>
      <c r="C47">
        <v>74118.929999999993</v>
      </c>
      <c r="D47">
        <v>4896.3100000000004</v>
      </c>
      <c r="E47">
        <v>134678.34</v>
      </c>
      <c r="F47">
        <v>132252.34</v>
      </c>
      <c r="G47">
        <v>54620.29</v>
      </c>
      <c r="H47">
        <v>39512.160000000003</v>
      </c>
      <c r="I47">
        <v>37895.14</v>
      </c>
      <c r="J47">
        <v>6708.88</v>
      </c>
      <c r="K47">
        <v>8180.5</v>
      </c>
      <c r="L47">
        <v>7146.88</v>
      </c>
      <c r="M47">
        <v>21135.26</v>
      </c>
      <c r="N47">
        <v>26790.32</v>
      </c>
      <c r="O47">
        <v>38998.949999999997</v>
      </c>
      <c r="P47">
        <v>10155.94</v>
      </c>
      <c r="Q47">
        <v>4122.26</v>
      </c>
    </row>
    <row r="48" spans="1:17" x14ac:dyDescent="0.35">
      <c r="A48" t="s">
        <v>11</v>
      </c>
      <c r="B48" t="s">
        <v>34</v>
      </c>
      <c r="C48">
        <v>41183.96</v>
      </c>
      <c r="D48">
        <v>7403.49</v>
      </c>
      <c r="E48">
        <v>151141.56</v>
      </c>
      <c r="F48">
        <v>66816.88</v>
      </c>
      <c r="G48">
        <v>24593.47</v>
      </c>
      <c r="H48">
        <v>33318.6</v>
      </c>
      <c r="I48">
        <v>39431.53</v>
      </c>
      <c r="J48">
        <v>10812.38</v>
      </c>
      <c r="K48">
        <v>4580.54</v>
      </c>
      <c r="L48">
        <v>4905.7</v>
      </c>
      <c r="M48">
        <v>20651.79</v>
      </c>
      <c r="N48">
        <v>13795.59</v>
      </c>
      <c r="O48">
        <v>41830.21</v>
      </c>
      <c r="P48">
        <v>5075.32</v>
      </c>
      <c r="Q48">
        <v>3380.25</v>
      </c>
    </row>
    <row r="49" spans="1:17" x14ac:dyDescent="0.35">
      <c r="A49" t="s">
        <v>11</v>
      </c>
      <c r="B49" t="s">
        <v>35</v>
      </c>
      <c r="C49">
        <v>74498.009999999995</v>
      </c>
      <c r="D49">
        <v>6578.83</v>
      </c>
      <c r="E49">
        <v>196481.17</v>
      </c>
      <c r="F49">
        <v>67917.66</v>
      </c>
      <c r="G49">
        <v>47260.11</v>
      </c>
      <c r="H49">
        <v>37806.839999999997</v>
      </c>
      <c r="I49">
        <v>54781.94</v>
      </c>
      <c r="J49">
        <v>9715.76</v>
      </c>
      <c r="K49">
        <v>6382.89</v>
      </c>
      <c r="L49">
        <v>4244.34</v>
      </c>
      <c r="M49">
        <v>28590.58</v>
      </c>
      <c r="N49">
        <v>33265.49</v>
      </c>
      <c r="O49">
        <v>73251.350000000006</v>
      </c>
      <c r="P49">
        <v>4994.38</v>
      </c>
      <c r="Q49">
        <v>7385.2</v>
      </c>
    </row>
    <row r="50" spans="1:17" x14ac:dyDescent="0.35">
      <c r="A50" t="s">
        <v>11</v>
      </c>
      <c r="B50" t="s">
        <v>36</v>
      </c>
      <c r="C50">
        <v>71917.02</v>
      </c>
      <c r="D50">
        <v>5449.86</v>
      </c>
      <c r="E50">
        <v>84974.44</v>
      </c>
      <c r="F50">
        <v>111700.86</v>
      </c>
      <c r="G50">
        <v>42978.92</v>
      </c>
      <c r="H50">
        <v>40254.86</v>
      </c>
      <c r="I50">
        <v>31988.62</v>
      </c>
      <c r="J50">
        <v>12952.67</v>
      </c>
      <c r="K50">
        <v>4911.3900000000003</v>
      </c>
      <c r="L50">
        <v>3318.28</v>
      </c>
      <c r="M50">
        <v>13285.32</v>
      </c>
      <c r="N50">
        <v>32864.370000000003</v>
      </c>
      <c r="O50">
        <v>58259.86</v>
      </c>
      <c r="P50">
        <v>8184.52</v>
      </c>
      <c r="Q50">
        <v>5152.9799999999996</v>
      </c>
    </row>
    <row r="51" spans="1:17" x14ac:dyDescent="0.35">
      <c r="A51" t="s">
        <v>11</v>
      </c>
      <c r="B51" t="s">
        <v>37</v>
      </c>
      <c r="C51">
        <v>68860.03</v>
      </c>
      <c r="D51">
        <v>7139.56</v>
      </c>
      <c r="E51">
        <v>197489.92000000001</v>
      </c>
      <c r="F51">
        <v>84522.14</v>
      </c>
      <c r="G51">
        <v>35077.78</v>
      </c>
      <c r="H51">
        <v>28880.39</v>
      </c>
      <c r="I51">
        <v>40068.89</v>
      </c>
      <c r="J51">
        <v>12476.09</v>
      </c>
      <c r="K51">
        <v>7019.04</v>
      </c>
      <c r="L51">
        <v>3661.06</v>
      </c>
      <c r="M51">
        <v>27991.49</v>
      </c>
      <c r="N51">
        <v>22097.279999999999</v>
      </c>
      <c r="O51">
        <v>52177.64</v>
      </c>
      <c r="P51">
        <v>11251.78</v>
      </c>
      <c r="Q51">
        <v>6745.43</v>
      </c>
    </row>
    <row r="52" spans="1:17" x14ac:dyDescent="0.35">
      <c r="A52" t="s">
        <v>12</v>
      </c>
      <c r="B52" t="s">
        <v>33</v>
      </c>
      <c r="C52">
        <v>30844.9</v>
      </c>
      <c r="D52">
        <v>11518.66</v>
      </c>
      <c r="E52">
        <v>169156.21</v>
      </c>
      <c r="F52">
        <v>75141.509999999995</v>
      </c>
      <c r="G52">
        <v>25570.880000000001</v>
      </c>
      <c r="H52">
        <v>38820.76</v>
      </c>
      <c r="I52">
        <v>56003.64</v>
      </c>
      <c r="J52">
        <v>10334.61</v>
      </c>
      <c r="K52">
        <v>9757.25</v>
      </c>
      <c r="L52">
        <v>6442.99</v>
      </c>
      <c r="M52">
        <v>13033.5</v>
      </c>
      <c r="N52">
        <v>20293.05</v>
      </c>
      <c r="O52">
        <v>37424.46</v>
      </c>
      <c r="P52">
        <v>9951.57</v>
      </c>
      <c r="Q52">
        <v>3201.19</v>
      </c>
    </row>
    <row r="53" spans="1:17" x14ac:dyDescent="0.35">
      <c r="A53" t="s">
        <v>12</v>
      </c>
      <c r="B53" t="s">
        <v>34</v>
      </c>
      <c r="C53">
        <v>53494.48</v>
      </c>
      <c r="D53">
        <v>10099.67</v>
      </c>
      <c r="E53">
        <v>206514.85</v>
      </c>
      <c r="F53">
        <v>75787.360000000001</v>
      </c>
      <c r="G53">
        <v>52850.29</v>
      </c>
      <c r="H53">
        <v>18318.95</v>
      </c>
      <c r="I53">
        <v>67322.61</v>
      </c>
      <c r="J53">
        <v>6274.89</v>
      </c>
      <c r="K53">
        <v>6281.01</v>
      </c>
      <c r="L53">
        <v>6486.48</v>
      </c>
      <c r="M53">
        <v>12998.35</v>
      </c>
      <c r="N53">
        <v>18231.28</v>
      </c>
      <c r="O53">
        <v>61112.63</v>
      </c>
      <c r="P53">
        <v>9760.2900000000009</v>
      </c>
      <c r="Q53">
        <v>6846.89</v>
      </c>
    </row>
    <row r="54" spans="1:17" x14ac:dyDescent="0.35">
      <c r="A54" t="s">
        <v>12</v>
      </c>
      <c r="B54" t="s">
        <v>35</v>
      </c>
      <c r="C54">
        <v>59697.42</v>
      </c>
      <c r="D54">
        <v>8341.7999999999993</v>
      </c>
      <c r="E54">
        <v>112769.86</v>
      </c>
      <c r="F54">
        <v>76112.639999999999</v>
      </c>
      <c r="G54">
        <v>27263.91</v>
      </c>
      <c r="H54">
        <v>42253.52</v>
      </c>
      <c r="I54">
        <v>54169.59</v>
      </c>
      <c r="J54">
        <v>9008.51</v>
      </c>
      <c r="K54">
        <v>6734.04</v>
      </c>
      <c r="L54">
        <v>7236.42</v>
      </c>
      <c r="M54">
        <v>13067.03</v>
      </c>
      <c r="N54">
        <v>27155.75</v>
      </c>
      <c r="O54">
        <v>50294.43</v>
      </c>
      <c r="P54">
        <v>8891.6299999999992</v>
      </c>
      <c r="Q54">
        <v>3108.66</v>
      </c>
    </row>
    <row r="55" spans="1:17" x14ac:dyDescent="0.35">
      <c r="A55" t="s">
        <v>12</v>
      </c>
      <c r="B55" t="s">
        <v>36</v>
      </c>
      <c r="C55">
        <v>68606.2</v>
      </c>
      <c r="D55">
        <v>11456.95</v>
      </c>
      <c r="E55">
        <v>159769.98000000001</v>
      </c>
      <c r="F55">
        <v>107698.57</v>
      </c>
      <c r="G55">
        <v>56899.98</v>
      </c>
      <c r="H55">
        <v>36217.160000000003</v>
      </c>
      <c r="I55">
        <v>32626.95</v>
      </c>
      <c r="J55">
        <v>10762.88</v>
      </c>
      <c r="K55">
        <v>7747.01</v>
      </c>
      <c r="L55">
        <v>4620.6499999999996</v>
      </c>
      <c r="M55">
        <v>24728.880000000001</v>
      </c>
      <c r="N55">
        <v>35859.18</v>
      </c>
      <c r="O55">
        <v>71278.429999999993</v>
      </c>
      <c r="P55">
        <v>7606.71</v>
      </c>
      <c r="Q55">
        <v>3679.43</v>
      </c>
    </row>
    <row r="56" spans="1:17" x14ac:dyDescent="0.35">
      <c r="A56" t="s">
        <v>12</v>
      </c>
      <c r="B56" t="s">
        <v>37</v>
      </c>
      <c r="C56">
        <v>74242.06</v>
      </c>
      <c r="D56">
        <v>10711.18</v>
      </c>
      <c r="E56">
        <v>93699.4</v>
      </c>
      <c r="F56">
        <v>127875.77</v>
      </c>
      <c r="G56">
        <v>54795.85</v>
      </c>
      <c r="H56">
        <v>30565.14</v>
      </c>
      <c r="I56">
        <v>54563.77</v>
      </c>
      <c r="J56">
        <v>8990.0300000000007</v>
      </c>
      <c r="K56">
        <v>3883.33</v>
      </c>
      <c r="L56">
        <v>4175.99</v>
      </c>
      <c r="M56">
        <v>26057.07</v>
      </c>
      <c r="N56">
        <v>12615.8</v>
      </c>
      <c r="O56">
        <v>41674.959999999999</v>
      </c>
      <c r="P56">
        <v>7185.35</v>
      </c>
      <c r="Q56">
        <v>6224.37</v>
      </c>
    </row>
    <row r="57" spans="1:17" x14ac:dyDescent="0.35">
      <c r="A57" t="s">
        <v>13</v>
      </c>
      <c r="B57" t="s">
        <v>33</v>
      </c>
      <c r="C57">
        <v>70992.78</v>
      </c>
      <c r="D57">
        <v>6770.77</v>
      </c>
      <c r="E57">
        <v>127042.98</v>
      </c>
      <c r="F57">
        <v>111375.11</v>
      </c>
      <c r="G57">
        <v>38088.720000000001</v>
      </c>
      <c r="H57">
        <v>21738.14</v>
      </c>
      <c r="I57">
        <v>47621.98</v>
      </c>
      <c r="J57">
        <v>6408.57</v>
      </c>
      <c r="K57">
        <v>4734.71</v>
      </c>
      <c r="L57">
        <v>4991.84</v>
      </c>
      <c r="M57">
        <v>18378.509999999998</v>
      </c>
      <c r="N57">
        <v>35371.15</v>
      </c>
      <c r="O57">
        <v>43119.69</v>
      </c>
      <c r="P57">
        <v>8644.7099999999991</v>
      </c>
      <c r="Q57">
        <v>6793.59</v>
      </c>
    </row>
    <row r="58" spans="1:17" x14ac:dyDescent="0.35">
      <c r="A58" t="s">
        <v>13</v>
      </c>
      <c r="B58" t="s">
        <v>34</v>
      </c>
      <c r="C58">
        <v>25654.720000000001</v>
      </c>
      <c r="D58">
        <v>9308.2999999999993</v>
      </c>
      <c r="E58">
        <v>101705.4</v>
      </c>
      <c r="F58">
        <v>131496.32999999999</v>
      </c>
      <c r="G58">
        <v>25946.51</v>
      </c>
      <c r="H58">
        <v>27438.720000000001</v>
      </c>
      <c r="I58">
        <v>29267.48</v>
      </c>
      <c r="J58">
        <v>14968.74</v>
      </c>
      <c r="K58">
        <v>7015.37</v>
      </c>
      <c r="L58">
        <v>5476.93</v>
      </c>
      <c r="M58">
        <v>11341.53</v>
      </c>
      <c r="N58">
        <v>31249.01</v>
      </c>
      <c r="O58">
        <v>35495.279999999999</v>
      </c>
      <c r="P58">
        <v>11184.43</v>
      </c>
      <c r="Q58">
        <v>4230.84</v>
      </c>
    </row>
    <row r="59" spans="1:17" x14ac:dyDescent="0.35">
      <c r="A59" t="s">
        <v>13</v>
      </c>
      <c r="B59" t="s">
        <v>35</v>
      </c>
      <c r="C59">
        <v>34534.39</v>
      </c>
      <c r="D59">
        <v>4292.3999999999996</v>
      </c>
      <c r="E59">
        <v>145810.04</v>
      </c>
      <c r="F59">
        <v>95835.7</v>
      </c>
      <c r="G59">
        <v>22628.35</v>
      </c>
      <c r="H59">
        <v>38265.83</v>
      </c>
      <c r="I59">
        <v>47664.44</v>
      </c>
      <c r="J59">
        <v>10243.9</v>
      </c>
      <c r="K59">
        <v>6585.34</v>
      </c>
      <c r="L59">
        <v>4503.82</v>
      </c>
      <c r="M59">
        <v>21192.81</v>
      </c>
      <c r="N59">
        <v>16381.01</v>
      </c>
      <c r="O59">
        <v>34096.410000000003</v>
      </c>
      <c r="P59">
        <v>10894.28</v>
      </c>
      <c r="Q59">
        <v>8676.69</v>
      </c>
    </row>
    <row r="60" spans="1:17" x14ac:dyDescent="0.35">
      <c r="A60" t="s">
        <v>13</v>
      </c>
      <c r="B60" t="s">
        <v>36</v>
      </c>
      <c r="C60">
        <v>43665.47</v>
      </c>
      <c r="D60">
        <v>6165.96</v>
      </c>
      <c r="E60">
        <v>171599.93</v>
      </c>
      <c r="F60">
        <v>81786.080000000002</v>
      </c>
      <c r="G60">
        <v>21015.45</v>
      </c>
      <c r="H60">
        <v>19684.580000000002</v>
      </c>
      <c r="I60">
        <v>60798.61</v>
      </c>
      <c r="J60">
        <v>11589.24</v>
      </c>
      <c r="K60">
        <v>3689.67</v>
      </c>
      <c r="L60">
        <v>3609.86</v>
      </c>
      <c r="M60">
        <v>14621.5</v>
      </c>
      <c r="N60">
        <v>29297.32</v>
      </c>
      <c r="O60">
        <v>25985.53</v>
      </c>
      <c r="P60">
        <v>4832.87</v>
      </c>
      <c r="Q60">
        <v>7799.5</v>
      </c>
    </row>
    <row r="61" spans="1:17" x14ac:dyDescent="0.35">
      <c r="A61" t="s">
        <v>13</v>
      </c>
      <c r="B61" t="s">
        <v>37</v>
      </c>
      <c r="C61">
        <v>33927.230000000003</v>
      </c>
      <c r="D61">
        <v>9221.9699999999993</v>
      </c>
      <c r="E61">
        <v>110727.42</v>
      </c>
      <c r="F61">
        <v>53949.73</v>
      </c>
      <c r="G61">
        <v>29726.89</v>
      </c>
      <c r="H61">
        <v>36668.01</v>
      </c>
      <c r="I61">
        <v>67784.820000000007</v>
      </c>
      <c r="J61">
        <v>13302.2</v>
      </c>
      <c r="K61">
        <v>6280.28</v>
      </c>
      <c r="L61">
        <v>5840.43</v>
      </c>
      <c r="M61">
        <v>14099.69</v>
      </c>
      <c r="N61">
        <v>19828.689999999999</v>
      </c>
      <c r="O61">
        <v>69816.789999999994</v>
      </c>
      <c r="P61">
        <v>4104.0200000000004</v>
      </c>
      <c r="Q61">
        <v>3513.05</v>
      </c>
    </row>
    <row r="62" spans="1:17" x14ac:dyDescent="0.35">
      <c r="A62" t="s">
        <v>14</v>
      </c>
      <c r="B62" t="s">
        <v>33</v>
      </c>
      <c r="C62">
        <v>35394.31</v>
      </c>
      <c r="D62">
        <v>4212.26</v>
      </c>
      <c r="E62">
        <v>102215.32</v>
      </c>
      <c r="F62">
        <v>97473.74</v>
      </c>
      <c r="G62">
        <v>36856.980000000003</v>
      </c>
      <c r="H62">
        <v>41780.15</v>
      </c>
      <c r="I62">
        <v>65872.179999999993</v>
      </c>
      <c r="J62">
        <v>8418.17</v>
      </c>
      <c r="K62">
        <v>5315.96</v>
      </c>
      <c r="L62">
        <v>4398.46</v>
      </c>
      <c r="M62">
        <v>21805.9</v>
      </c>
      <c r="N62">
        <v>19201.59</v>
      </c>
      <c r="O62">
        <v>56207.45</v>
      </c>
      <c r="P62">
        <v>7275.29</v>
      </c>
      <c r="Q62">
        <v>6312.28</v>
      </c>
    </row>
    <row r="63" spans="1:17" x14ac:dyDescent="0.35">
      <c r="A63" t="s">
        <v>14</v>
      </c>
      <c r="B63" t="s">
        <v>34</v>
      </c>
      <c r="C63">
        <v>46806.33</v>
      </c>
      <c r="D63">
        <v>6355.73</v>
      </c>
      <c r="E63">
        <v>217268</v>
      </c>
      <c r="F63">
        <v>113724.52</v>
      </c>
      <c r="G63">
        <v>25604.53</v>
      </c>
      <c r="H63">
        <v>41054.04</v>
      </c>
      <c r="I63">
        <v>49371.56</v>
      </c>
      <c r="J63">
        <v>13945.52</v>
      </c>
      <c r="K63">
        <v>9098.99</v>
      </c>
      <c r="L63">
        <v>4626.07</v>
      </c>
      <c r="M63">
        <v>10449.39</v>
      </c>
      <c r="N63">
        <v>19216.93</v>
      </c>
      <c r="O63">
        <v>52081.71</v>
      </c>
      <c r="P63">
        <v>9067.83</v>
      </c>
      <c r="Q63">
        <v>4547.33</v>
      </c>
    </row>
    <row r="64" spans="1:17" x14ac:dyDescent="0.35">
      <c r="A64" t="s">
        <v>14</v>
      </c>
      <c r="B64" t="s">
        <v>35</v>
      </c>
      <c r="C64">
        <v>31967.8</v>
      </c>
      <c r="D64">
        <v>10679.44</v>
      </c>
      <c r="E64">
        <v>222660.33</v>
      </c>
      <c r="F64">
        <v>92312.12</v>
      </c>
      <c r="G64">
        <v>26867.17</v>
      </c>
      <c r="H64">
        <v>23169.22</v>
      </c>
      <c r="I64">
        <v>25919.53</v>
      </c>
      <c r="J64">
        <v>14142.99</v>
      </c>
      <c r="K64">
        <v>4324.26</v>
      </c>
      <c r="L64">
        <v>5382.58</v>
      </c>
      <c r="M64">
        <v>15481.1</v>
      </c>
      <c r="N64">
        <v>26354.45</v>
      </c>
      <c r="O64">
        <v>57571.02</v>
      </c>
      <c r="P64">
        <v>10637.93</v>
      </c>
      <c r="Q64">
        <v>4238.53</v>
      </c>
    </row>
    <row r="65" spans="1:17" x14ac:dyDescent="0.35">
      <c r="A65" t="s">
        <v>14</v>
      </c>
      <c r="B65" t="s">
        <v>36</v>
      </c>
      <c r="C65">
        <v>25549.79</v>
      </c>
      <c r="D65">
        <v>5095.09</v>
      </c>
      <c r="E65">
        <v>210002.8</v>
      </c>
      <c r="F65">
        <v>123650.11</v>
      </c>
      <c r="G65">
        <v>43896.52</v>
      </c>
      <c r="H65">
        <v>33015.51</v>
      </c>
      <c r="I65">
        <v>58251.83</v>
      </c>
      <c r="J65">
        <v>6753.71</v>
      </c>
      <c r="K65">
        <v>9900.8799999999992</v>
      </c>
      <c r="L65">
        <v>4593.8500000000004</v>
      </c>
      <c r="M65">
        <v>17662.77</v>
      </c>
      <c r="N65">
        <v>25472.94</v>
      </c>
      <c r="O65">
        <v>27348.3</v>
      </c>
      <c r="P65">
        <v>5330.27</v>
      </c>
      <c r="Q65">
        <v>7428.2</v>
      </c>
    </row>
    <row r="66" spans="1:17" x14ac:dyDescent="0.35">
      <c r="A66" t="s">
        <v>14</v>
      </c>
      <c r="B66" t="s">
        <v>37</v>
      </c>
      <c r="C66">
        <v>29139.93</v>
      </c>
      <c r="D66">
        <v>8825.2199999999993</v>
      </c>
      <c r="E66">
        <v>111802.37</v>
      </c>
      <c r="F66">
        <v>80036.61</v>
      </c>
      <c r="G66">
        <v>31547.75</v>
      </c>
      <c r="H66">
        <v>25670.18</v>
      </c>
      <c r="I66">
        <v>60952.3</v>
      </c>
      <c r="J66">
        <v>7971.22</v>
      </c>
      <c r="K66">
        <v>7464.83</v>
      </c>
      <c r="L66">
        <v>4880.25</v>
      </c>
      <c r="M66">
        <v>23273.42</v>
      </c>
      <c r="N66">
        <v>35920.74</v>
      </c>
      <c r="O66">
        <v>61628.6</v>
      </c>
      <c r="P66">
        <v>5719.52</v>
      </c>
      <c r="Q66">
        <v>3187.1</v>
      </c>
    </row>
    <row r="67" spans="1:17" x14ac:dyDescent="0.35">
      <c r="A67" t="s">
        <v>15</v>
      </c>
      <c r="B67" t="s">
        <v>33</v>
      </c>
      <c r="C67">
        <v>38113.199999999997</v>
      </c>
      <c r="D67">
        <v>8760.6200000000008</v>
      </c>
      <c r="E67">
        <v>82713.87</v>
      </c>
      <c r="F67">
        <v>89672.960000000006</v>
      </c>
      <c r="G67">
        <v>43873.71</v>
      </c>
      <c r="H67">
        <v>25027.32</v>
      </c>
      <c r="I67">
        <v>63545.61</v>
      </c>
      <c r="J67">
        <v>6065.98</v>
      </c>
      <c r="K67">
        <v>4025.96</v>
      </c>
      <c r="L67">
        <v>6140.94</v>
      </c>
      <c r="M67">
        <v>19909.830000000002</v>
      </c>
      <c r="N67">
        <v>29710.06</v>
      </c>
      <c r="O67">
        <v>46741.37</v>
      </c>
      <c r="P67">
        <v>5971.22</v>
      </c>
      <c r="Q67">
        <v>7914.61</v>
      </c>
    </row>
    <row r="68" spans="1:17" x14ac:dyDescent="0.35">
      <c r="A68" t="s">
        <v>15</v>
      </c>
      <c r="B68" t="s">
        <v>34</v>
      </c>
      <c r="C68">
        <v>64970.79</v>
      </c>
      <c r="D68">
        <v>9557.57</v>
      </c>
      <c r="E68">
        <v>115821.77</v>
      </c>
      <c r="F68">
        <v>98120.76</v>
      </c>
      <c r="G68">
        <v>34438.959999999999</v>
      </c>
      <c r="H68">
        <v>17747.46</v>
      </c>
      <c r="I68">
        <v>70865.679999999993</v>
      </c>
      <c r="J68">
        <v>6368.19</v>
      </c>
      <c r="K68">
        <v>10151.66</v>
      </c>
      <c r="L68">
        <v>4730.03</v>
      </c>
      <c r="M68">
        <v>13702.66</v>
      </c>
      <c r="N68">
        <v>26047.52</v>
      </c>
      <c r="O68">
        <v>68647.289999999994</v>
      </c>
      <c r="P68">
        <v>9857.7999999999993</v>
      </c>
      <c r="Q68">
        <v>7839.37</v>
      </c>
    </row>
    <row r="69" spans="1:17" x14ac:dyDescent="0.35">
      <c r="A69" t="s">
        <v>15</v>
      </c>
      <c r="B69" t="s">
        <v>35</v>
      </c>
      <c r="C69">
        <v>57939.17</v>
      </c>
      <c r="D69">
        <v>9538.2099999999991</v>
      </c>
      <c r="E69">
        <v>202379.35</v>
      </c>
      <c r="F69">
        <v>67470.12</v>
      </c>
      <c r="G69">
        <v>39577</v>
      </c>
      <c r="H69">
        <v>21636.28</v>
      </c>
      <c r="I69">
        <v>74383.399999999994</v>
      </c>
      <c r="J69">
        <v>14440.59</v>
      </c>
      <c r="K69">
        <v>3775.99</v>
      </c>
      <c r="L69">
        <v>6027.88</v>
      </c>
      <c r="M69">
        <v>28504.97</v>
      </c>
      <c r="N69">
        <v>17014.38</v>
      </c>
      <c r="O69">
        <v>53397.26</v>
      </c>
      <c r="P69">
        <v>11323.91</v>
      </c>
      <c r="Q69">
        <v>3203.68</v>
      </c>
    </row>
    <row r="70" spans="1:17" x14ac:dyDescent="0.35">
      <c r="A70" t="s">
        <v>15</v>
      </c>
      <c r="B70" t="s">
        <v>36</v>
      </c>
      <c r="C70">
        <v>59871.01</v>
      </c>
      <c r="D70">
        <v>6378.79</v>
      </c>
      <c r="E70">
        <v>213659.43</v>
      </c>
      <c r="F70">
        <v>132395.24</v>
      </c>
      <c r="G70">
        <v>57770.66</v>
      </c>
      <c r="H70">
        <v>29226.43</v>
      </c>
      <c r="I70">
        <v>68102.13</v>
      </c>
      <c r="J70">
        <v>13445.49</v>
      </c>
      <c r="K70">
        <v>5733.7</v>
      </c>
      <c r="L70">
        <v>6644.58</v>
      </c>
      <c r="M70">
        <v>10740.15</v>
      </c>
      <c r="N70">
        <v>27406.75</v>
      </c>
      <c r="O70">
        <v>36500.44</v>
      </c>
      <c r="P70">
        <v>4964.54</v>
      </c>
      <c r="Q70">
        <v>3461.72</v>
      </c>
    </row>
    <row r="71" spans="1:17" x14ac:dyDescent="0.35">
      <c r="A71" t="s">
        <v>15</v>
      </c>
      <c r="B71" t="s">
        <v>37</v>
      </c>
      <c r="C71">
        <v>59814.44</v>
      </c>
      <c r="D71">
        <v>6719</v>
      </c>
      <c r="E71">
        <v>183715.02</v>
      </c>
      <c r="F71">
        <v>50882.07</v>
      </c>
      <c r="G71">
        <v>32611.61</v>
      </c>
      <c r="H71">
        <v>31184.74</v>
      </c>
      <c r="I71">
        <v>64536.160000000003</v>
      </c>
      <c r="J71">
        <v>8187.53</v>
      </c>
      <c r="K71">
        <v>7881.24</v>
      </c>
      <c r="L71">
        <v>6929.89</v>
      </c>
      <c r="M71">
        <v>22317.26</v>
      </c>
      <c r="N71">
        <v>18323.990000000002</v>
      </c>
      <c r="O71">
        <v>26220.04</v>
      </c>
      <c r="P71">
        <v>10960.79</v>
      </c>
      <c r="Q71">
        <v>3127.62</v>
      </c>
    </row>
    <row r="72" spans="1:17" x14ac:dyDescent="0.35">
      <c r="A72" t="s">
        <v>16</v>
      </c>
      <c r="B72" t="s">
        <v>33</v>
      </c>
      <c r="C72">
        <v>68735.08</v>
      </c>
      <c r="D72">
        <v>8231.5</v>
      </c>
      <c r="E72">
        <v>215860.15</v>
      </c>
      <c r="F72">
        <v>116890.49</v>
      </c>
      <c r="G72">
        <v>59917.36</v>
      </c>
      <c r="H72">
        <v>25521.35</v>
      </c>
      <c r="I72">
        <v>63359.41</v>
      </c>
      <c r="J72">
        <v>9019.31</v>
      </c>
      <c r="K72">
        <v>6859.13</v>
      </c>
      <c r="L72">
        <v>5637.53</v>
      </c>
      <c r="M72">
        <v>27473.54</v>
      </c>
      <c r="N72">
        <v>37102.089999999997</v>
      </c>
      <c r="O72">
        <v>63413.67</v>
      </c>
      <c r="P72">
        <v>7342.13</v>
      </c>
      <c r="Q72">
        <v>5528.14</v>
      </c>
    </row>
    <row r="73" spans="1:17" x14ac:dyDescent="0.35">
      <c r="A73" t="s">
        <v>16</v>
      </c>
      <c r="B73" t="s">
        <v>34</v>
      </c>
      <c r="C73">
        <v>61879.12</v>
      </c>
      <c r="D73">
        <v>5910.22</v>
      </c>
      <c r="E73">
        <v>91571.12</v>
      </c>
      <c r="F73">
        <v>76915.990000000005</v>
      </c>
      <c r="G73">
        <v>31489.56</v>
      </c>
      <c r="H73">
        <v>23889.24</v>
      </c>
      <c r="I73">
        <v>36680.39</v>
      </c>
      <c r="J73">
        <v>5420.93</v>
      </c>
      <c r="K73">
        <v>3625.12</v>
      </c>
      <c r="L73">
        <v>7438.61</v>
      </c>
      <c r="M73">
        <v>18555.46</v>
      </c>
      <c r="N73">
        <v>22108.17</v>
      </c>
      <c r="O73">
        <v>58982.36</v>
      </c>
      <c r="P73">
        <v>5746.03</v>
      </c>
      <c r="Q73">
        <v>8699.77</v>
      </c>
    </row>
    <row r="74" spans="1:17" x14ac:dyDescent="0.35">
      <c r="A74" t="s">
        <v>16</v>
      </c>
      <c r="B74" t="s">
        <v>35</v>
      </c>
      <c r="C74">
        <v>64317.25</v>
      </c>
      <c r="D74">
        <v>4715.29</v>
      </c>
      <c r="E74">
        <v>137637.12</v>
      </c>
      <c r="F74">
        <v>124120.65</v>
      </c>
      <c r="G74">
        <v>57789.279999999999</v>
      </c>
      <c r="H74">
        <v>29022.05</v>
      </c>
      <c r="I74">
        <v>55670.57</v>
      </c>
      <c r="J74">
        <v>6670.34</v>
      </c>
      <c r="K74">
        <v>10438.18</v>
      </c>
      <c r="L74">
        <v>3658.36</v>
      </c>
      <c r="M74">
        <v>28854.639999999999</v>
      </c>
      <c r="N74">
        <v>28741.17</v>
      </c>
      <c r="O74">
        <v>55386.84</v>
      </c>
      <c r="P74">
        <v>8101.51</v>
      </c>
      <c r="Q74">
        <v>4384.0200000000004</v>
      </c>
    </row>
    <row r="75" spans="1:17" x14ac:dyDescent="0.35">
      <c r="A75" t="s">
        <v>16</v>
      </c>
      <c r="B75" t="s">
        <v>36</v>
      </c>
      <c r="C75">
        <v>33826.400000000001</v>
      </c>
      <c r="D75">
        <v>5763.89</v>
      </c>
      <c r="E75">
        <v>102965.74</v>
      </c>
      <c r="F75">
        <v>115162.6</v>
      </c>
      <c r="G75">
        <v>34005.01</v>
      </c>
      <c r="H75">
        <v>16735.28</v>
      </c>
      <c r="I75">
        <v>73455.13</v>
      </c>
      <c r="J75">
        <v>13837.86</v>
      </c>
      <c r="K75">
        <v>9994.27</v>
      </c>
      <c r="L75">
        <v>7474.54</v>
      </c>
      <c r="M75">
        <v>13477.9</v>
      </c>
      <c r="N75">
        <v>22406.05</v>
      </c>
      <c r="O75">
        <v>62911.92</v>
      </c>
      <c r="P75">
        <v>9568.16</v>
      </c>
      <c r="Q75">
        <v>3923.38</v>
      </c>
    </row>
    <row r="76" spans="1:17" x14ac:dyDescent="0.35">
      <c r="A76" t="s">
        <v>16</v>
      </c>
      <c r="B76" t="s">
        <v>37</v>
      </c>
      <c r="C76">
        <v>65791.66</v>
      </c>
      <c r="D76">
        <v>5795.52</v>
      </c>
      <c r="E76">
        <v>108572.64</v>
      </c>
      <c r="F76">
        <v>93327.7</v>
      </c>
      <c r="G76">
        <v>43717.599999999999</v>
      </c>
      <c r="H76">
        <v>32402.59</v>
      </c>
      <c r="I76">
        <v>29574.34</v>
      </c>
      <c r="J76">
        <v>13774.61</v>
      </c>
      <c r="K76">
        <v>5359.2</v>
      </c>
      <c r="L76">
        <v>3147.57</v>
      </c>
      <c r="M76">
        <v>27774.959999999999</v>
      </c>
      <c r="N76">
        <v>36391.29</v>
      </c>
      <c r="O76">
        <v>68106.38</v>
      </c>
      <c r="P76">
        <v>10476.129999999999</v>
      </c>
      <c r="Q76">
        <v>6931.45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tabSelected="1" zoomScale="66" zoomScaleNormal="66" workbookViewId="0">
      <selection activeCell="C24" sqref="C24"/>
    </sheetView>
  </sheetViews>
  <sheetFormatPr defaultRowHeight="14.5" x14ac:dyDescent="0.35"/>
  <cols>
    <col min="1" max="1" width="30" customWidth="1"/>
    <col min="2" max="4" width="18" customWidth="1"/>
    <col min="5" max="5" width="31" customWidth="1"/>
    <col min="6" max="6" width="27.08984375" customWidth="1"/>
    <col min="7" max="7" width="18" customWidth="1"/>
    <col min="8" max="8" width="36.453125" customWidth="1"/>
  </cols>
  <sheetData>
    <row r="1" spans="1:8" x14ac:dyDescent="0.35">
      <c r="A1" t="s">
        <v>1</v>
      </c>
      <c r="B1" t="s">
        <v>17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35">
      <c r="A2" t="s">
        <v>2</v>
      </c>
      <c r="B2" t="s">
        <v>33</v>
      </c>
      <c r="C2">
        <v>4372.7</v>
      </c>
      <c r="D2">
        <v>24580.14</v>
      </c>
      <c r="E2">
        <v>140826.59</v>
      </c>
      <c r="F2">
        <v>37199.480000000003</v>
      </c>
      <c r="G2">
        <v>42.58</v>
      </c>
      <c r="H2">
        <v>8</v>
      </c>
    </row>
    <row r="3" spans="1:8" x14ac:dyDescent="0.35">
      <c r="A3" t="s">
        <v>2</v>
      </c>
      <c r="B3" t="s">
        <v>34</v>
      </c>
      <c r="C3">
        <v>7253.57</v>
      </c>
      <c r="D3">
        <v>25425.41</v>
      </c>
      <c r="E3">
        <v>73956.19</v>
      </c>
      <c r="F3">
        <v>73650.53</v>
      </c>
      <c r="G3">
        <v>66.569999999999993</v>
      </c>
      <c r="H3">
        <v>13</v>
      </c>
    </row>
    <row r="4" spans="1:8" x14ac:dyDescent="0.35">
      <c r="A4" t="s">
        <v>2</v>
      </c>
      <c r="B4" t="s">
        <v>35</v>
      </c>
      <c r="C4">
        <v>6159.97</v>
      </c>
      <c r="D4">
        <v>11480.89</v>
      </c>
      <c r="E4">
        <v>64489.49</v>
      </c>
      <c r="F4">
        <v>44654.89</v>
      </c>
      <c r="G4">
        <v>67.03</v>
      </c>
      <c r="H4">
        <v>10</v>
      </c>
    </row>
    <row r="5" spans="1:8" x14ac:dyDescent="0.35">
      <c r="A5" t="s">
        <v>2</v>
      </c>
      <c r="B5" t="s">
        <v>36</v>
      </c>
      <c r="C5">
        <v>5493.29</v>
      </c>
      <c r="D5">
        <v>17169.310000000001</v>
      </c>
      <c r="E5">
        <v>98945.279999999999</v>
      </c>
      <c r="F5">
        <v>69602.33</v>
      </c>
      <c r="G5">
        <v>71.87</v>
      </c>
      <c r="H5">
        <v>10</v>
      </c>
    </row>
    <row r="6" spans="1:8" x14ac:dyDescent="0.35">
      <c r="A6" t="s">
        <v>2</v>
      </c>
      <c r="B6" t="s">
        <v>37</v>
      </c>
      <c r="C6">
        <v>3280.09</v>
      </c>
      <c r="D6">
        <v>12317.38</v>
      </c>
      <c r="E6">
        <v>148565.04999999999</v>
      </c>
      <c r="F6">
        <v>56556.93</v>
      </c>
      <c r="G6">
        <v>76.3</v>
      </c>
      <c r="H6">
        <v>10</v>
      </c>
    </row>
    <row r="7" spans="1:8" x14ac:dyDescent="0.35">
      <c r="A7" t="s">
        <v>3</v>
      </c>
      <c r="B7" t="s">
        <v>33</v>
      </c>
      <c r="C7">
        <v>3279.97</v>
      </c>
      <c r="D7">
        <v>27262.07</v>
      </c>
      <c r="E7">
        <v>74205.53</v>
      </c>
      <c r="F7">
        <v>64740.57</v>
      </c>
      <c r="G7">
        <v>88.79</v>
      </c>
      <c r="H7">
        <v>14</v>
      </c>
    </row>
    <row r="8" spans="1:8" x14ac:dyDescent="0.35">
      <c r="A8" t="s">
        <v>3</v>
      </c>
      <c r="B8" t="s">
        <v>34</v>
      </c>
      <c r="C8">
        <v>2790.42</v>
      </c>
      <c r="D8">
        <v>22465.96</v>
      </c>
      <c r="E8">
        <v>117213.55</v>
      </c>
      <c r="F8">
        <v>50131.85</v>
      </c>
      <c r="G8">
        <v>65.819999999999993</v>
      </c>
      <c r="H8">
        <v>2</v>
      </c>
    </row>
    <row r="9" spans="1:8" x14ac:dyDescent="0.35">
      <c r="A9" t="s">
        <v>3</v>
      </c>
      <c r="B9" t="s">
        <v>35</v>
      </c>
      <c r="C9">
        <v>6830.88</v>
      </c>
      <c r="D9">
        <v>16617.96</v>
      </c>
      <c r="E9">
        <v>126161.96</v>
      </c>
      <c r="F9">
        <v>53845.19</v>
      </c>
      <c r="G9">
        <v>56.15</v>
      </c>
      <c r="H9">
        <v>3</v>
      </c>
    </row>
    <row r="10" spans="1:8" x14ac:dyDescent="0.35">
      <c r="A10" t="s">
        <v>3</v>
      </c>
      <c r="B10" t="s">
        <v>36</v>
      </c>
      <c r="C10">
        <v>5505.58</v>
      </c>
      <c r="D10">
        <v>11271.17</v>
      </c>
      <c r="E10">
        <v>73763.75</v>
      </c>
      <c r="F10">
        <v>49625.88</v>
      </c>
      <c r="G10">
        <v>79.760000000000005</v>
      </c>
      <c r="H10">
        <v>9</v>
      </c>
    </row>
    <row r="11" spans="1:8" x14ac:dyDescent="0.35">
      <c r="A11" t="s">
        <v>3</v>
      </c>
      <c r="B11" t="s">
        <v>37</v>
      </c>
      <c r="C11">
        <v>6040.36</v>
      </c>
      <c r="D11">
        <v>16219.65</v>
      </c>
      <c r="E11">
        <v>122821.63</v>
      </c>
      <c r="F11">
        <v>34762.15</v>
      </c>
      <c r="G11">
        <v>53.54</v>
      </c>
      <c r="H11">
        <v>7</v>
      </c>
    </row>
    <row r="12" spans="1:8" x14ac:dyDescent="0.35">
      <c r="A12" t="s">
        <v>4</v>
      </c>
      <c r="B12" t="s">
        <v>33</v>
      </c>
      <c r="C12">
        <v>2602.92</v>
      </c>
      <c r="D12">
        <v>16503.669999999998</v>
      </c>
      <c r="E12">
        <v>86778.31</v>
      </c>
      <c r="F12">
        <v>61122.61</v>
      </c>
      <c r="G12">
        <v>61.95</v>
      </c>
      <c r="H12">
        <v>4</v>
      </c>
    </row>
    <row r="13" spans="1:8" x14ac:dyDescent="0.35">
      <c r="A13" t="s">
        <v>4</v>
      </c>
      <c r="B13" t="s">
        <v>34</v>
      </c>
      <c r="C13">
        <v>7349.55</v>
      </c>
      <c r="D13">
        <v>24592.12</v>
      </c>
      <c r="E13">
        <v>113230.58</v>
      </c>
      <c r="F13">
        <v>39038.620000000003</v>
      </c>
      <c r="G13">
        <v>43.92</v>
      </c>
      <c r="H13">
        <v>10</v>
      </c>
    </row>
    <row r="14" spans="1:8" x14ac:dyDescent="0.35">
      <c r="A14" t="s">
        <v>4</v>
      </c>
      <c r="B14" t="s">
        <v>35</v>
      </c>
      <c r="C14">
        <v>6662.21</v>
      </c>
      <c r="D14">
        <v>22751.15</v>
      </c>
      <c r="E14">
        <v>113352.97</v>
      </c>
      <c r="F14">
        <v>26215.8</v>
      </c>
      <c r="G14">
        <v>41.27</v>
      </c>
      <c r="H14">
        <v>5</v>
      </c>
    </row>
    <row r="15" spans="1:8" x14ac:dyDescent="0.35">
      <c r="A15" t="s">
        <v>4</v>
      </c>
      <c r="B15" t="s">
        <v>36</v>
      </c>
      <c r="C15">
        <v>3561.7</v>
      </c>
      <c r="D15">
        <v>27744.25</v>
      </c>
      <c r="E15">
        <v>103577.47</v>
      </c>
      <c r="F15">
        <v>57273.61</v>
      </c>
      <c r="G15">
        <v>88.13</v>
      </c>
      <c r="H15">
        <v>2</v>
      </c>
    </row>
    <row r="16" spans="1:8" x14ac:dyDescent="0.35">
      <c r="A16" t="s">
        <v>4</v>
      </c>
      <c r="B16" t="s">
        <v>37</v>
      </c>
      <c r="C16">
        <v>3409.12</v>
      </c>
      <c r="D16">
        <v>19444.3</v>
      </c>
      <c r="E16">
        <v>59028.98</v>
      </c>
      <c r="F16">
        <v>33855.53</v>
      </c>
      <c r="G16">
        <v>81.8</v>
      </c>
      <c r="H16">
        <v>13</v>
      </c>
    </row>
    <row r="17" spans="1:8" x14ac:dyDescent="0.35">
      <c r="A17" t="s">
        <v>5</v>
      </c>
      <c r="B17" t="s">
        <v>33</v>
      </c>
      <c r="C17">
        <v>3417.02</v>
      </c>
      <c r="D17">
        <v>12391.88</v>
      </c>
      <c r="E17">
        <v>133530.25</v>
      </c>
      <c r="F17">
        <v>72022.929999999993</v>
      </c>
      <c r="G17">
        <v>74.8</v>
      </c>
      <c r="H17">
        <v>11</v>
      </c>
    </row>
    <row r="18" spans="1:8" x14ac:dyDescent="0.35">
      <c r="A18" t="s">
        <v>5</v>
      </c>
      <c r="B18" t="s">
        <v>34</v>
      </c>
      <c r="C18">
        <v>4021.21</v>
      </c>
      <c r="D18">
        <v>24264.9</v>
      </c>
      <c r="E18">
        <v>82078.009999999995</v>
      </c>
      <c r="F18">
        <v>72696.429999999993</v>
      </c>
      <c r="G18">
        <v>60.45</v>
      </c>
      <c r="H18">
        <v>13</v>
      </c>
    </row>
    <row r="19" spans="1:8" x14ac:dyDescent="0.35">
      <c r="A19" t="s">
        <v>5</v>
      </c>
      <c r="B19" t="s">
        <v>35</v>
      </c>
      <c r="C19">
        <v>5123.78</v>
      </c>
      <c r="D19">
        <v>25215.7</v>
      </c>
      <c r="E19">
        <v>68651.850000000006</v>
      </c>
      <c r="F19">
        <v>70743.22</v>
      </c>
      <c r="G19">
        <v>48.66</v>
      </c>
      <c r="H19">
        <v>8</v>
      </c>
    </row>
    <row r="20" spans="1:8" x14ac:dyDescent="0.35">
      <c r="A20" t="s">
        <v>5</v>
      </c>
      <c r="B20" t="s">
        <v>36</v>
      </c>
      <c r="C20">
        <v>4659.7299999999996</v>
      </c>
      <c r="D20">
        <v>21225.54</v>
      </c>
      <c r="E20">
        <v>54077.51</v>
      </c>
      <c r="F20">
        <v>43507.94</v>
      </c>
      <c r="G20">
        <v>47.82</v>
      </c>
      <c r="H20">
        <v>4</v>
      </c>
    </row>
    <row r="21" spans="1:8" x14ac:dyDescent="0.35">
      <c r="A21" t="s">
        <v>5</v>
      </c>
      <c r="B21" t="s">
        <v>37</v>
      </c>
      <c r="C21">
        <v>3956.15</v>
      </c>
      <c r="D21">
        <v>25419.34</v>
      </c>
      <c r="E21">
        <v>109089.29</v>
      </c>
      <c r="F21">
        <v>25772.83</v>
      </c>
      <c r="G21">
        <v>52.51</v>
      </c>
      <c r="H21">
        <v>9</v>
      </c>
    </row>
    <row r="22" spans="1:8" x14ac:dyDescent="0.35">
      <c r="A22" t="s">
        <v>6</v>
      </c>
      <c r="B22" t="s">
        <v>33</v>
      </c>
      <c r="C22">
        <v>5559.26</v>
      </c>
      <c r="D22">
        <v>19875.91</v>
      </c>
      <c r="E22">
        <v>117756.44</v>
      </c>
      <c r="F22">
        <v>71415.929999999993</v>
      </c>
      <c r="G22">
        <v>67.459999999999994</v>
      </c>
      <c r="H22">
        <v>5</v>
      </c>
    </row>
    <row r="23" spans="1:8" x14ac:dyDescent="0.35">
      <c r="A23" t="s">
        <v>6</v>
      </c>
      <c r="B23" t="s">
        <v>34</v>
      </c>
      <c r="C23">
        <v>3197.47</v>
      </c>
      <c r="D23">
        <v>20454.66</v>
      </c>
      <c r="E23">
        <v>51658.78</v>
      </c>
      <c r="F23">
        <v>46409.21</v>
      </c>
      <c r="G23">
        <v>75.73</v>
      </c>
      <c r="H23">
        <v>13</v>
      </c>
    </row>
    <row r="24" spans="1:8" x14ac:dyDescent="0.35">
      <c r="A24" t="s">
        <v>6</v>
      </c>
      <c r="B24" t="s">
        <v>35</v>
      </c>
      <c r="C24">
        <v>3960.72</v>
      </c>
      <c r="D24">
        <v>18550.82</v>
      </c>
      <c r="E24">
        <v>101209.31</v>
      </c>
      <c r="F24">
        <v>73332.740000000005</v>
      </c>
      <c r="G24">
        <v>73.010000000000005</v>
      </c>
      <c r="H24">
        <v>9</v>
      </c>
    </row>
    <row r="25" spans="1:8" x14ac:dyDescent="0.35">
      <c r="A25" t="s">
        <v>6</v>
      </c>
      <c r="B25" t="s">
        <v>36</v>
      </c>
      <c r="C25">
        <v>4331.8100000000004</v>
      </c>
      <c r="D25">
        <v>10508.38</v>
      </c>
      <c r="E25">
        <v>72649.58</v>
      </c>
      <c r="F25">
        <v>73181</v>
      </c>
      <c r="G25">
        <v>54</v>
      </c>
      <c r="H25">
        <v>4</v>
      </c>
    </row>
    <row r="26" spans="1:8" x14ac:dyDescent="0.35">
      <c r="A26" t="s">
        <v>6</v>
      </c>
      <c r="B26" t="s">
        <v>37</v>
      </c>
      <c r="C26">
        <v>4780.3500000000004</v>
      </c>
      <c r="D26">
        <v>12157.83</v>
      </c>
      <c r="E26">
        <v>114517.28</v>
      </c>
      <c r="F26">
        <v>67650.47</v>
      </c>
      <c r="G26">
        <v>87.74</v>
      </c>
      <c r="H26">
        <v>10</v>
      </c>
    </row>
    <row r="27" spans="1:8" x14ac:dyDescent="0.35">
      <c r="A27" t="s">
        <v>7</v>
      </c>
      <c r="B27" t="s">
        <v>33</v>
      </c>
      <c r="C27">
        <v>6425.88</v>
      </c>
      <c r="D27">
        <v>10628.58</v>
      </c>
      <c r="E27">
        <v>67436.639999999999</v>
      </c>
      <c r="F27">
        <v>39722.44</v>
      </c>
      <c r="G27">
        <v>76.89</v>
      </c>
      <c r="H27">
        <v>5</v>
      </c>
    </row>
    <row r="28" spans="1:8" x14ac:dyDescent="0.35">
      <c r="A28" t="s">
        <v>7</v>
      </c>
      <c r="B28" t="s">
        <v>34</v>
      </c>
      <c r="C28">
        <v>3498.37</v>
      </c>
      <c r="D28">
        <v>22728.21</v>
      </c>
      <c r="E28">
        <v>119093.77</v>
      </c>
      <c r="F28">
        <v>44254.89</v>
      </c>
      <c r="G28">
        <v>67.72</v>
      </c>
      <c r="H28">
        <v>9</v>
      </c>
    </row>
    <row r="29" spans="1:8" x14ac:dyDescent="0.35">
      <c r="A29" t="s">
        <v>7</v>
      </c>
      <c r="B29" t="s">
        <v>35</v>
      </c>
      <c r="C29">
        <v>5071.17</v>
      </c>
      <c r="D29">
        <v>16287.12</v>
      </c>
      <c r="E29">
        <v>88673.53</v>
      </c>
      <c r="F29">
        <v>67556.83</v>
      </c>
      <c r="G29">
        <v>70.59</v>
      </c>
      <c r="H29">
        <v>8</v>
      </c>
    </row>
    <row r="30" spans="1:8" x14ac:dyDescent="0.35">
      <c r="A30" t="s">
        <v>7</v>
      </c>
      <c r="B30" t="s">
        <v>36</v>
      </c>
      <c r="C30">
        <v>5462.07</v>
      </c>
      <c r="D30">
        <v>20171.41</v>
      </c>
      <c r="E30">
        <v>143673</v>
      </c>
      <c r="F30">
        <v>40846.1</v>
      </c>
      <c r="G30">
        <v>60.98</v>
      </c>
      <c r="H30">
        <v>3</v>
      </c>
    </row>
    <row r="31" spans="1:8" x14ac:dyDescent="0.35">
      <c r="A31" t="s">
        <v>7</v>
      </c>
      <c r="B31" t="s">
        <v>37</v>
      </c>
      <c r="C31">
        <v>2732.25</v>
      </c>
      <c r="D31">
        <v>28151.33</v>
      </c>
      <c r="E31">
        <v>63752.09</v>
      </c>
      <c r="F31">
        <v>33474.639999999999</v>
      </c>
      <c r="G31">
        <v>52.39</v>
      </c>
      <c r="H31">
        <v>1</v>
      </c>
    </row>
    <row r="32" spans="1:8" x14ac:dyDescent="0.35">
      <c r="A32" t="s">
        <v>8</v>
      </c>
      <c r="B32" t="s">
        <v>33</v>
      </c>
      <c r="C32">
        <v>5537.72</v>
      </c>
      <c r="D32">
        <v>14985.84</v>
      </c>
      <c r="E32">
        <v>84106.64</v>
      </c>
      <c r="F32">
        <v>52840.06</v>
      </c>
      <c r="G32">
        <v>57.8</v>
      </c>
      <c r="H32">
        <v>3</v>
      </c>
    </row>
    <row r="33" spans="1:8" x14ac:dyDescent="0.35">
      <c r="A33" t="s">
        <v>8</v>
      </c>
      <c r="B33" t="s">
        <v>34</v>
      </c>
      <c r="C33">
        <v>3352.62</v>
      </c>
      <c r="D33">
        <v>18207.66</v>
      </c>
      <c r="E33">
        <v>61347.35</v>
      </c>
      <c r="F33">
        <v>71807.740000000005</v>
      </c>
      <c r="G33">
        <v>77.89</v>
      </c>
      <c r="H33">
        <v>4</v>
      </c>
    </row>
    <row r="34" spans="1:8" x14ac:dyDescent="0.35">
      <c r="A34" t="s">
        <v>8</v>
      </c>
      <c r="B34" t="s">
        <v>35</v>
      </c>
      <c r="C34">
        <v>2825.26</v>
      </c>
      <c r="D34">
        <v>25111.02</v>
      </c>
      <c r="E34">
        <v>142469.35999999999</v>
      </c>
      <c r="F34">
        <v>59801.49</v>
      </c>
      <c r="G34">
        <v>40.72</v>
      </c>
      <c r="H34">
        <v>2</v>
      </c>
    </row>
    <row r="35" spans="1:8" x14ac:dyDescent="0.35">
      <c r="A35" t="s">
        <v>8</v>
      </c>
      <c r="B35" t="s">
        <v>36</v>
      </c>
      <c r="C35">
        <v>7244.43</v>
      </c>
      <c r="D35">
        <v>14575.96</v>
      </c>
      <c r="E35">
        <v>137733.94</v>
      </c>
      <c r="F35">
        <v>53503.06</v>
      </c>
      <c r="G35">
        <v>45.8</v>
      </c>
      <c r="H35">
        <v>1</v>
      </c>
    </row>
    <row r="36" spans="1:8" x14ac:dyDescent="0.35">
      <c r="A36" t="s">
        <v>8</v>
      </c>
      <c r="B36" t="s">
        <v>37</v>
      </c>
      <c r="C36">
        <v>7328.16</v>
      </c>
      <c r="D36">
        <v>11539.6</v>
      </c>
      <c r="E36">
        <v>75794.16</v>
      </c>
      <c r="F36">
        <v>29858.82</v>
      </c>
      <c r="G36">
        <v>42.3</v>
      </c>
      <c r="H36">
        <v>7</v>
      </c>
    </row>
    <row r="37" spans="1:8" x14ac:dyDescent="0.35">
      <c r="A37" t="s">
        <v>9</v>
      </c>
      <c r="B37" t="s">
        <v>33</v>
      </c>
      <c r="C37">
        <v>6541.99</v>
      </c>
      <c r="D37">
        <v>15795.03</v>
      </c>
      <c r="E37">
        <v>115998.39999999999</v>
      </c>
      <c r="F37">
        <v>55750.36</v>
      </c>
      <c r="G37">
        <v>42.04</v>
      </c>
      <c r="H37">
        <v>8</v>
      </c>
    </row>
    <row r="38" spans="1:8" x14ac:dyDescent="0.35">
      <c r="A38" t="s">
        <v>9</v>
      </c>
      <c r="B38" t="s">
        <v>34</v>
      </c>
      <c r="C38">
        <v>4023.07</v>
      </c>
      <c r="D38">
        <v>13224.43</v>
      </c>
      <c r="E38">
        <v>131722.22</v>
      </c>
      <c r="F38">
        <v>74502.69</v>
      </c>
      <c r="G38">
        <v>82.77</v>
      </c>
      <c r="H38">
        <v>7</v>
      </c>
    </row>
    <row r="39" spans="1:8" x14ac:dyDescent="0.35">
      <c r="A39" t="s">
        <v>9</v>
      </c>
      <c r="B39" t="s">
        <v>35</v>
      </c>
      <c r="C39">
        <v>2988.36</v>
      </c>
      <c r="D39">
        <v>28593.95</v>
      </c>
      <c r="E39">
        <v>105520.08</v>
      </c>
      <c r="F39">
        <v>32004.2</v>
      </c>
      <c r="G39">
        <v>75.180000000000007</v>
      </c>
      <c r="H39">
        <v>14</v>
      </c>
    </row>
    <row r="40" spans="1:8" x14ac:dyDescent="0.35">
      <c r="A40" t="s">
        <v>9</v>
      </c>
      <c r="B40" t="s">
        <v>36</v>
      </c>
      <c r="C40">
        <v>5921.17</v>
      </c>
      <c r="D40">
        <v>26162.41</v>
      </c>
      <c r="E40">
        <v>102965.06</v>
      </c>
      <c r="F40">
        <v>50916.480000000003</v>
      </c>
      <c r="G40">
        <v>63.71</v>
      </c>
      <c r="H40">
        <v>5</v>
      </c>
    </row>
    <row r="41" spans="1:8" x14ac:dyDescent="0.35">
      <c r="A41" t="s">
        <v>9</v>
      </c>
      <c r="B41" t="s">
        <v>37</v>
      </c>
      <c r="C41">
        <v>4700.76</v>
      </c>
      <c r="D41">
        <v>22668.080000000002</v>
      </c>
      <c r="E41">
        <v>74185.23</v>
      </c>
      <c r="F41">
        <v>68868.649999999994</v>
      </c>
      <c r="G41">
        <v>44.89</v>
      </c>
      <c r="H41">
        <v>12</v>
      </c>
    </row>
    <row r="42" spans="1:8" x14ac:dyDescent="0.35">
      <c r="A42" t="s">
        <v>10</v>
      </c>
      <c r="B42" t="s">
        <v>33</v>
      </c>
      <c r="C42">
        <v>3110.19</v>
      </c>
      <c r="D42">
        <v>27429.21</v>
      </c>
      <c r="E42">
        <v>59310.28</v>
      </c>
      <c r="F42">
        <v>62038.43</v>
      </c>
      <c r="G42">
        <v>64.58</v>
      </c>
      <c r="H42">
        <v>1</v>
      </c>
    </row>
    <row r="43" spans="1:8" x14ac:dyDescent="0.35">
      <c r="A43" t="s">
        <v>10</v>
      </c>
      <c r="B43" t="s">
        <v>34</v>
      </c>
      <c r="C43">
        <v>4975.88</v>
      </c>
      <c r="D43">
        <v>26073.439999999999</v>
      </c>
      <c r="E43">
        <v>139721.57999999999</v>
      </c>
      <c r="F43">
        <v>59850.79</v>
      </c>
      <c r="G43">
        <v>63.67</v>
      </c>
      <c r="H43">
        <v>7</v>
      </c>
    </row>
    <row r="44" spans="1:8" x14ac:dyDescent="0.35">
      <c r="A44" t="s">
        <v>10</v>
      </c>
      <c r="B44" t="s">
        <v>35</v>
      </c>
      <c r="C44">
        <v>2671.94</v>
      </c>
      <c r="D44">
        <v>13731.4</v>
      </c>
      <c r="E44">
        <v>140041.81</v>
      </c>
      <c r="F44">
        <v>60124.2</v>
      </c>
      <c r="G44">
        <v>48.66</v>
      </c>
      <c r="H44">
        <v>13</v>
      </c>
    </row>
    <row r="45" spans="1:8" x14ac:dyDescent="0.35">
      <c r="A45" t="s">
        <v>10</v>
      </c>
      <c r="B45" t="s">
        <v>36</v>
      </c>
      <c r="C45">
        <v>7046.6</v>
      </c>
      <c r="D45">
        <v>27851.18</v>
      </c>
      <c r="E45">
        <v>113310.15</v>
      </c>
      <c r="F45">
        <v>42974.559999999998</v>
      </c>
      <c r="G45">
        <v>61.69</v>
      </c>
      <c r="H45">
        <v>7</v>
      </c>
    </row>
    <row r="46" spans="1:8" x14ac:dyDescent="0.35">
      <c r="A46" t="s">
        <v>10</v>
      </c>
      <c r="B46" t="s">
        <v>37</v>
      </c>
      <c r="C46">
        <v>3793.9</v>
      </c>
      <c r="D46">
        <v>20786.84</v>
      </c>
      <c r="E46">
        <v>83902.98</v>
      </c>
      <c r="F46">
        <v>39679.589999999997</v>
      </c>
      <c r="G46">
        <v>59.93</v>
      </c>
      <c r="H46">
        <v>9</v>
      </c>
    </row>
    <row r="47" spans="1:8" x14ac:dyDescent="0.35">
      <c r="A47" t="s">
        <v>11</v>
      </c>
      <c r="B47" t="s">
        <v>33</v>
      </c>
      <c r="C47">
        <v>5812.61</v>
      </c>
      <c r="D47">
        <v>26148.799999999999</v>
      </c>
      <c r="E47">
        <v>84920.960000000006</v>
      </c>
      <c r="F47">
        <v>65468.06</v>
      </c>
      <c r="G47">
        <v>70.790000000000006</v>
      </c>
      <c r="H47">
        <v>3</v>
      </c>
    </row>
    <row r="48" spans="1:8" x14ac:dyDescent="0.35">
      <c r="A48" t="s">
        <v>11</v>
      </c>
      <c r="B48" t="s">
        <v>34</v>
      </c>
      <c r="C48">
        <v>4058.56</v>
      </c>
      <c r="D48">
        <v>27921.83</v>
      </c>
      <c r="E48">
        <v>122595.57</v>
      </c>
      <c r="F48">
        <v>65505.67</v>
      </c>
      <c r="G48">
        <v>71.75</v>
      </c>
      <c r="H48">
        <v>9</v>
      </c>
    </row>
    <row r="49" spans="1:8" x14ac:dyDescent="0.35">
      <c r="A49" t="s">
        <v>11</v>
      </c>
      <c r="B49" t="s">
        <v>35</v>
      </c>
      <c r="C49">
        <v>5100.34</v>
      </c>
      <c r="D49">
        <v>16360.07</v>
      </c>
      <c r="E49">
        <v>139711.03</v>
      </c>
      <c r="F49">
        <v>68353.62</v>
      </c>
      <c r="G49">
        <v>42.27</v>
      </c>
      <c r="H49">
        <v>14</v>
      </c>
    </row>
    <row r="50" spans="1:8" x14ac:dyDescent="0.35">
      <c r="A50" t="s">
        <v>11</v>
      </c>
      <c r="B50" t="s">
        <v>36</v>
      </c>
      <c r="C50">
        <v>5233.55</v>
      </c>
      <c r="D50">
        <v>12201.04</v>
      </c>
      <c r="E50">
        <v>138708.64000000001</v>
      </c>
      <c r="F50">
        <v>70662.03</v>
      </c>
      <c r="G50">
        <v>58.73</v>
      </c>
      <c r="H50">
        <v>1</v>
      </c>
    </row>
    <row r="51" spans="1:8" x14ac:dyDescent="0.35">
      <c r="A51" t="s">
        <v>11</v>
      </c>
      <c r="B51" t="s">
        <v>37</v>
      </c>
      <c r="C51">
        <v>3424.27</v>
      </c>
      <c r="D51">
        <v>14558.7</v>
      </c>
      <c r="E51">
        <v>127987.55</v>
      </c>
      <c r="F51">
        <v>50567.12</v>
      </c>
      <c r="G51">
        <v>71.290000000000006</v>
      </c>
      <c r="H51">
        <v>1</v>
      </c>
    </row>
    <row r="52" spans="1:8" x14ac:dyDescent="0.35">
      <c r="A52" t="s">
        <v>12</v>
      </c>
      <c r="B52" t="s">
        <v>33</v>
      </c>
      <c r="C52">
        <v>7347.92</v>
      </c>
      <c r="D52">
        <v>18542.16</v>
      </c>
      <c r="E52">
        <v>114203.16</v>
      </c>
      <c r="F52">
        <v>50075.81</v>
      </c>
      <c r="G52">
        <v>65.16</v>
      </c>
      <c r="H52">
        <v>14</v>
      </c>
    </row>
    <row r="53" spans="1:8" x14ac:dyDescent="0.35">
      <c r="A53" t="s">
        <v>12</v>
      </c>
      <c r="B53" t="s">
        <v>34</v>
      </c>
      <c r="C53">
        <v>6375.66</v>
      </c>
      <c r="D53">
        <v>26360.3</v>
      </c>
      <c r="E53">
        <v>58414</v>
      </c>
      <c r="F53">
        <v>64914.76</v>
      </c>
      <c r="G53">
        <v>82.82</v>
      </c>
      <c r="H53">
        <v>4</v>
      </c>
    </row>
    <row r="54" spans="1:8" x14ac:dyDescent="0.35">
      <c r="A54" t="s">
        <v>12</v>
      </c>
      <c r="B54" t="s">
        <v>35</v>
      </c>
      <c r="C54">
        <v>7197.49</v>
      </c>
      <c r="D54">
        <v>27214.61</v>
      </c>
      <c r="E54">
        <v>66162.87</v>
      </c>
      <c r="F54">
        <v>57498.2</v>
      </c>
      <c r="G54">
        <v>72.930000000000007</v>
      </c>
      <c r="H54">
        <v>9</v>
      </c>
    </row>
    <row r="55" spans="1:8" x14ac:dyDescent="0.35">
      <c r="A55" t="s">
        <v>12</v>
      </c>
      <c r="B55" t="s">
        <v>36</v>
      </c>
      <c r="C55">
        <v>6974.14</v>
      </c>
      <c r="D55">
        <v>10139.040000000001</v>
      </c>
      <c r="E55">
        <v>139855.42000000001</v>
      </c>
      <c r="F55">
        <v>60098.34</v>
      </c>
      <c r="G55">
        <v>48.15</v>
      </c>
      <c r="H55">
        <v>6</v>
      </c>
    </row>
    <row r="56" spans="1:8" x14ac:dyDescent="0.35">
      <c r="A56" t="s">
        <v>12</v>
      </c>
      <c r="B56" t="s">
        <v>37</v>
      </c>
      <c r="C56">
        <v>5489.5</v>
      </c>
      <c r="D56">
        <v>20214.95</v>
      </c>
      <c r="E56">
        <v>110642.91</v>
      </c>
      <c r="F56">
        <v>64789.63</v>
      </c>
      <c r="G56">
        <v>43.53</v>
      </c>
      <c r="H56">
        <v>13</v>
      </c>
    </row>
    <row r="57" spans="1:8" x14ac:dyDescent="0.35">
      <c r="A57" t="s">
        <v>13</v>
      </c>
      <c r="B57" t="s">
        <v>33</v>
      </c>
      <c r="C57">
        <v>7109.37</v>
      </c>
      <c r="D57">
        <v>18348.22</v>
      </c>
      <c r="E57">
        <v>50919.71</v>
      </c>
      <c r="F57">
        <v>69500.27</v>
      </c>
      <c r="G57">
        <v>72.12</v>
      </c>
      <c r="H57">
        <v>11</v>
      </c>
    </row>
    <row r="58" spans="1:8" x14ac:dyDescent="0.35">
      <c r="A58" t="s">
        <v>13</v>
      </c>
      <c r="B58" t="s">
        <v>34</v>
      </c>
      <c r="C58">
        <v>2942.46</v>
      </c>
      <c r="D58">
        <v>14442.16</v>
      </c>
      <c r="E58">
        <v>60147.15</v>
      </c>
      <c r="F58">
        <v>41899.760000000002</v>
      </c>
      <c r="G58">
        <v>41.33</v>
      </c>
      <c r="H58">
        <v>3</v>
      </c>
    </row>
    <row r="59" spans="1:8" x14ac:dyDescent="0.35">
      <c r="A59" t="s">
        <v>13</v>
      </c>
      <c r="B59" t="s">
        <v>35</v>
      </c>
      <c r="C59">
        <v>3479.91</v>
      </c>
      <c r="D59">
        <v>12397.31</v>
      </c>
      <c r="E59">
        <v>116350.18</v>
      </c>
      <c r="F59">
        <v>43779.15</v>
      </c>
      <c r="G59">
        <v>69.290000000000006</v>
      </c>
      <c r="H59">
        <v>1</v>
      </c>
    </row>
    <row r="60" spans="1:8" x14ac:dyDescent="0.35">
      <c r="A60" t="s">
        <v>13</v>
      </c>
      <c r="B60" t="s">
        <v>36</v>
      </c>
      <c r="C60">
        <v>2726.14</v>
      </c>
      <c r="D60">
        <v>16752.3</v>
      </c>
      <c r="E60">
        <v>50506.16</v>
      </c>
      <c r="F60">
        <v>29699.1</v>
      </c>
      <c r="G60">
        <v>87.01</v>
      </c>
      <c r="H60">
        <v>4</v>
      </c>
    </row>
    <row r="61" spans="1:8" x14ac:dyDescent="0.35">
      <c r="A61" t="s">
        <v>13</v>
      </c>
      <c r="B61" t="s">
        <v>37</v>
      </c>
      <c r="C61">
        <v>4126.6499999999996</v>
      </c>
      <c r="D61">
        <v>28858.19</v>
      </c>
      <c r="E61">
        <v>66080.81</v>
      </c>
      <c r="F61">
        <v>53914.01</v>
      </c>
      <c r="G61">
        <v>68.77</v>
      </c>
      <c r="H61">
        <v>12</v>
      </c>
    </row>
    <row r="62" spans="1:8" x14ac:dyDescent="0.35">
      <c r="A62" t="s">
        <v>14</v>
      </c>
      <c r="B62" t="s">
        <v>33</v>
      </c>
      <c r="C62">
        <v>4443.3900000000003</v>
      </c>
      <c r="D62">
        <v>16464.060000000001</v>
      </c>
      <c r="E62">
        <v>104873.38</v>
      </c>
      <c r="F62">
        <v>26797.11</v>
      </c>
      <c r="G62">
        <v>59.41</v>
      </c>
      <c r="H62">
        <v>13</v>
      </c>
    </row>
    <row r="63" spans="1:8" x14ac:dyDescent="0.35">
      <c r="A63" t="s">
        <v>14</v>
      </c>
      <c r="B63" t="s">
        <v>34</v>
      </c>
      <c r="C63">
        <v>3856.75</v>
      </c>
      <c r="D63">
        <v>20375.810000000001</v>
      </c>
      <c r="E63">
        <v>119189.52</v>
      </c>
      <c r="F63">
        <v>48279.9</v>
      </c>
      <c r="G63">
        <v>72.16</v>
      </c>
      <c r="H63">
        <v>9</v>
      </c>
    </row>
    <row r="64" spans="1:8" x14ac:dyDescent="0.35">
      <c r="A64" t="s">
        <v>14</v>
      </c>
      <c r="B64" t="s">
        <v>35</v>
      </c>
      <c r="C64">
        <v>6643.69</v>
      </c>
      <c r="D64">
        <v>24060.38</v>
      </c>
      <c r="E64">
        <v>115196.13</v>
      </c>
      <c r="F64">
        <v>52132.23</v>
      </c>
      <c r="G64">
        <v>62.91</v>
      </c>
      <c r="H64">
        <v>3</v>
      </c>
    </row>
    <row r="65" spans="1:8" x14ac:dyDescent="0.35">
      <c r="A65" t="s">
        <v>14</v>
      </c>
      <c r="B65" t="s">
        <v>36</v>
      </c>
      <c r="C65">
        <v>4283.7700000000004</v>
      </c>
      <c r="D65">
        <v>17272.59</v>
      </c>
      <c r="E65">
        <v>72426.929999999993</v>
      </c>
      <c r="F65">
        <v>39327.06</v>
      </c>
      <c r="G65">
        <v>67.28</v>
      </c>
      <c r="H65">
        <v>12</v>
      </c>
    </row>
    <row r="66" spans="1:8" x14ac:dyDescent="0.35">
      <c r="A66" t="s">
        <v>14</v>
      </c>
      <c r="B66" t="s">
        <v>37</v>
      </c>
      <c r="C66">
        <v>3904.67</v>
      </c>
      <c r="D66">
        <v>29435.64</v>
      </c>
      <c r="E66">
        <v>121217.92</v>
      </c>
      <c r="F66">
        <v>54541.66</v>
      </c>
      <c r="G66">
        <v>87.07</v>
      </c>
      <c r="H66">
        <v>9</v>
      </c>
    </row>
    <row r="67" spans="1:8" x14ac:dyDescent="0.35">
      <c r="A67" t="s">
        <v>15</v>
      </c>
      <c r="B67" t="s">
        <v>33</v>
      </c>
      <c r="C67">
        <v>5213.4799999999996</v>
      </c>
      <c r="D67">
        <v>29248.95</v>
      </c>
      <c r="E67">
        <v>73724.91</v>
      </c>
      <c r="F67">
        <v>26525.01</v>
      </c>
      <c r="G67">
        <v>59.31</v>
      </c>
      <c r="H67">
        <v>7</v>
      </c>
    </row>
    <row r="68" spans="1:8" x14ac:dyDescent="0.35">
      <c r="A68" t="s">
        <v>15</v>
      </c>
      <c r="B68" t="s">
        <v>34</v>
      </c>
      <c r="C68">
        <v>3204.62</v>
      </c>
      <c r="D68">
        <v>15035.65</v>
      </c>
      <c r="E68">
        <v>82539.97</v>
      </c>
      <c r="F68">
        <v>26867.41</v>
      </c>
      <c r="G68">
        <v>88.06</v>
      </c>
      <c r="H68">
        <v>12</v>
      </c>
    </row>
    <row r="69" spans="1:8" x14ac:dyDescent="0.35">
      <c r="A69" t="s">
        <v>15</v>
      </c>
      <c r="B69" t="s">
        <v>35</v>
      </c>
      <c r="C69">
        <v>6510.98</v>
      </c>
      <c r="D69">
        <v>19944.97</v>
      </c>
      <c r="E69">
        <v>124649.14</v>
      </c>
      <c r="F69">
        <v>66130.03</v>
      </c>
      <c r="G69">
        <v>85.27</v>
      </c>
      <c r="H69">
        <v>14</v>
      </c>
    </row>
    <row r="70" spans="1:8" x14ac:dyDescent="0.35">
      <c r="A70" t="s">
        <v>15</v>
      </c>
      <c r="B70" t="s">
        <v>36</v>
      </c>
      <c r="C70">
        <v>2872.75</v>
      </c>
      <c r="D70">
        <v>16017.57</v>
      </c>
      <c r="E70">
        <v>114963.29</v>
      </c>
      <c r="F70">
        <v>43009.53</v>
      </c>
      <c r="G70">
        <v>49.79</v>
      </c>
      <c r="H70">
        <v>4</v>
      </c>
    </row>
    <row r="71" spans="1:8" x14ac:dyDescent="0.35">
      <c r="A71" t="s">
        <v>15</v>
      </c>
      <c r="B71" t="s">
        <v>37</v>
      </c>
      <c r="C71">
        <v>7434.43</v>
      </c>
      <c r="D71">
        <v>15696.81</v>
      </c>
      <c r="E71">
        <v>134922.34</v>
      </c>
      <c r="F71">
        <v>31353.03</v>
      </c>
      <c r="G71">
        <v>43.47</v>
      </c>
      <c r="H71">
        <v>3</v>
      </c>
    </row>
    <row r="72" spans="1:8" x14ac:dyDescent="0.35">
      <c r="A72" t="s">
        <v>16</v>
      </c>
      <c r="B72" t="s">
        <v>33</v>
      </c>
      <c r="C72">
        <v>6361.22</v>
      </c>
      <c r="D72">
        <v>10737.74</v>
      </c>
      <c r="E72">
        <v>115761.29</v>
      </c>
      <c r="F72">
        <v>51112.160000000003</v>
      </c>
      <c r="G72">
        <v>45.04</v>
      </c>
      <c r="H72">
        <v>10</v>
      </c>
    </row>
    <row r="73" spans="1:8" x14ac:dyDescent="0.35">
      <c r="A73" t="s">
        <v>16</v>
      </c>
      <c r="B73" t="s">
        <v>34</v>
      </c>
      <c r="C73">
        <v>3493.58</v>
      </c>
      <c r="D73">
        <v>22191.29</v>
      </c>
      <c r="E73">
        <v>106830.86</v>
      </c>
      <c r="F73">
        <v>63499.68</v>
      </c>
      <c r="G73">
        <v>40.909999999999997</v>
      </c>
      <c r="H73">
        <v>5</v>
      </c>
    </row>
    <row r="74" spans="1:8" x14ac:dyDescent="0.35">
      <c r="A74" t="s">
        <v>16</v>
      </c>
      <c r="B74" t="s">
        <v>35</v>
      </c>
      <c r="C74">
        <v>2527.61</v>
      </c>
      <c r="D74">
        <v>20053.580000000002</v>
      </c>
      <c r="E74">
        <v>59367.48</v>
      </c>
      <c r="F74">
        <v>35791.050000000003</v>
      </c>
      <c r="G74">
        <v>44.72</v>
      </c>
      <c r="H74">
        <v>5</v>
      </c>
    </row>
    <row r="75" spans="1:8" x14ac:dyDescent="0.35">
      <c r="A75" t="s">
        <v>16</v>
      </c>
      <c r="B75" t="s">
        <v>36</v>
      </c>
      <c r="C75">
        <v>6577.31</v>
      </c>
      <c r="D75">
        <v>11029.58</v>
      </c>
      <c r="E75">
        <v>86771.58</v>
      </c>
      <c r="F75">
        <v>56144.52</v>
      </c>
      <c r="G75">
        <v>74.150000000000006</v>
      </c>
      <c r="H75">
        <v>3</v>
      </c>
    </row>
    <row r="76" spans="1:8" x14ac:dyDescent="0.35">
      <c r="A76" t="s">
        <v>16</v>
      </c>
      <c r="B76" t="s">
        <v>37</v>
      </c>
      <c r="C76">
        <v>6034.29</v>
      </c>
      <c r="D76">
        <v>15572.93</v>
      </c>
      <c r="E76">
        <v>76520.240000000005</v>
      </c>
      <c r="F76">
        <v>29267.37</v>
      </c>
      <c r="G76">
        <v>43.56</v>
      </c>
      <c r="H76">
        <v>12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6"/>
  <sheetViews>
    <sheetView zoomScale="71" zoomScaleNormal="71" workbookViewId="0">
      <selection sqref="A1:N1"/>
    </sheetView>
  </sheetViews>
  <sheetFormatPr defaultRowHeight="14.5" x14ac:dyDescent="0.35"/>
  <cols>
    <col min="1" max="1" width="21.1796875" bestFit="1" customWidth="1"/>
    <col min="2" max="2" width="5" bestFit="1" customWidth="1"/>
    <col min="3" max="3" width="26" bestFit="1" customWidth="1"/>
    <col min="4" max="4" width="35.453125" bestFit="1" customWidth="1"/>
    <col min="5" max="5" width="45.81640625" bestFit="1" customWidth="1"/>
    <col min="6" max="6" width="46.54296875" bestFit="1" customWidth="1"/>
    <col min="7" max="7" width="16.6328125" bestFit="1" customWidth="1"/>
    <col min="8" max="8" width="40.453125" bestFit="1" customWidth="1"/>
    <col min="9" max="9" width="29.6328125" bestFit="1" customWidth="1"/>
    <col min="10" max="10" width="31.54296875" bestFit="1" customWidth="1"/>
    <col min="11" max="11" width="32.08984375" bestFit="1" customWidth="1"/>
    <col min="12" max="12" width="41.453125" bestFit="1" customWidth="1"/>
    <col min="13" max="13" width="18.81640625" bestFit="1" customWidth="1"/>
    <col min="14" max="14" width="10.08984375" bestFit="1" customWidth="1"/>
  </cols>
  <sheetData>
    <row r="1" spans="1:14" x14ac:dyDescent="0.35">
      <c r="A1" s="4" t="s">
        <v>1</v>
      </c>
      <c r="B1" s="4" t="s">
        <v>17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42</v>
      </c>
    </row>
    <row r="2" spans="1:14" x14ac:dyDescent="0.35">
      <c r="A2" t="s">
        <v>2</v>
      </c>
      <c r="B2" t="s">
        <v>33</v>
      </c>
      <c r="C2" cm="1">
        <f t="array" ref="C2">IF(OR(IFERROR(INDEX(Raw_Financials!$E$2:$E$76, MATCH(1, (Raw_Financials!$A$2:$A$76="Reliance Industries")*(Raw_Financials!$B$2:$B$76="2020"),0)+1),"")="",IFERROR(INDEX(Raw_Financials!$D$2:$D$76, MATCH(1, (Raw_Financials!$A$2:$A$76="Reliance Industries")*(Raw_Financials!$B$2:$B$76="2020"),0)+1),"")=""),"",(IFERROR(INDEX(Raw_Financials!$D$2:$D$76, MATCH(1, (Raw_Financials!$A$2:$A$76="Reliance Industries")*(Raw_Financials!$B$2:$B$76="2020"),0)+1),""))/(IFERROR(INDEX(Raw_Financials!$E$2:$E$76, MATCH(1, (Raw_Financials!$A$2:$A$76="Reliance Industries")*(Raw_Financials!$B$2:$B$76="2020"),0)+1),"")))</f>
        <v>4.1856711832522667E-2</v>
      </c>
      <c r="D2" cm="1">
        <f t="array" ref="D2">IF(OR(IFERROR(INDEX(Raw_Financials!$E$2:$E$76, MATCH(1, (Raw_Financials!$A$2:$A$76="Reliance Industries")*(Raw_Financials!$B$2:$B$76="2020"),0)+1),"")="",IFERROR(INDEX(Raw_Financials!$C$2:$C$76, MATCH(1, (Raw_Financials!$A$2:$A$76="Reliance Industries")*(Raw_Financials!$B$2:$B$76="2020"),0)+1),"")=""),"",(IFERROR(INDEX(Raw_Financials!$C$2:$C$76, MATCH(1, (Raw_Financials!$A$2:$A$76="Reliance Industries")*(Raw_Financials!$B$2:$B$76="2020"),0)+1),""))/(IFERROR(INDEX(Raw_Financials!$E$2:$E$76, MATCH(1, (Raw_Financials!$A$2:$A$76="Reliance Industries")*(Raw_Financials!$B$2:$B$76="2020"),0)+1),"")))</f>
        <v>0.2222982294458794</v>
      </c>
      <c r="E2" cm="1">
        <f t="array" ref="E2">IF(OR(IFERROR(INDEX(Raw_Financials!$G$2:$G$76, MATCH(1, (Raw_Financials!$A$2:$A$76="Reliance Industries")*(Raw_Financials!$B$2:$B$76="2020"),0)+1),"")="",IFERROR(INDEX(Raw_Financials!$H$2:$H$76, MATCH(1, (Raw_Financials!$A$2:$A$76="Reliance Industries")*(Raw_Financials!$B$2:$B$76="2020"),0)+1),"")=""),"",(IFERROR(INDEX(Raw_Financials!$G$2:$G$76, MATCH(1, (Raw_Financials!$A$2:$A$76="Reliance Industries")*(Raw_Financials!$B$2:$B$76="2020"),0)+1),""))-(IFERROR(INDEX(Raw_Financials!$H$2:$H$76, MATCH(1, (Raw_Financials!$A$2:$A$76="Reliance Industries")*(Raw_Financials!$B$2:$B$76="2020"),0)+1),"")))</f>
        <v>-1706.4199999999983</v>
      </c>
      <c r="F2" cm="1">
        <f t="array" ref="F2">IF(OR(IFERROR(INDEX(Raw_Financials!$C$2:$C$76, MATCH(1, (Raw_Financials!$A$2:$A$76="Reliance Industries")*(Raw_Financials!$B$2:$B$76="2020"),0)+1),"")="",IF(OR(IFERROR(INDEX(Raw_Financials!$G$2:$G$76, MATCH(1, (Raw_Financials!$A$2:$A$76="Reliance Industries")*(Raw_Financials!$B$2:$B$76="2020"),0)+1),"")="",IFERROR(INDEX(Raw_Financials!$H$2:$H$76, MATCH(1, (Raw_Financials!$A$2:$A$76="Reliance Industries")*(Raw_Financials!$B$2:$B$76="2020"),0)+1),"")=""),"",(IFERROR(INDEX(Raw_Financials!$G$2:$G$76, MATCH(1, (Raw_Financials!$A$2:$A$76="Reliance Industries")*(Raw_Financials!$B$2:$B$76="2020"),0)+1),""))-(IFERROR(INDEX(Raw_Financials!$H$2:$H$76, MATCH(1, (Raw_Financials!$A$2:$A$76="Reliance Industries")*(Raw_Financials!$B$2:$B$76="2020"),0)+1),"")))=""),"",(IFERROR(INDEX(Raw_Financials!$C$2:$C$76, MATCH(1, (Raw_Financials!$A$2:$A$76="Reliance Industries")*(Raw_Financials!$B$2:$B$76="2020"),0)+1),""))/(IF(OR(IFERROR(INDEX(Raw_Financials!$G$2:$G$76, MATCH(1, (Raw_Financials!$A$2:$A$76="Reliance Industries")*(Raw_Financials!$B$2:$B$76="2020"),0)+1),"")="",IFERROR(INDEX(Raw_Financials!$H$2:$H$76, MATCH(1, (Raw_Financials!$A$2:$A$76="Reliance Industries")*(Raw_Financials!$B$2:$B$76="2020"),0)+1),"")=""),"",(IFERROR(INDEX(Raw_Financials!$G$2:$G$76, MATCH(1, (Raw_Financials!$A$2:$A$76="Reliance Industries")*(Raw_Financials!$B$2:$B$76="2020"),0)+1),""))-(IFERROR(INDEX(Raw_Financials!$H$2:$H$76, MATCH(1, (Raw_Financials!$A$2:$A$76="Reliance Industries")*(Raw_Financials!$B$2:$B$76="2020"),0)+1),"")))))</f>
        <v>-20.024513308564149</v>
      </c>
      <c r="G2" cm="1">
        <f t="array" ref="G2">IF(OR(IFERROR(INDEX(Raw_Financials!$O$2:$O$76, MATCH(1, (Raw_Financials!$A$2:$A$76="Reliance Industries")*(Raw_Financials!$B$2:$B$76="2020"),0)+1),"")="",IFERROR(INDEX(Raw_Financials!$M$2:$M$76, MATCH(1, (Raw_Financials!$A$2:$A$76="Reliance Industries")*(Raw_Financials!$B$2:$B$76="2020"),0)+1),"")=""),"",(IFERROR(INDEX(Raw_Financials!$O$2:$O$76, MATCH(1, (Raw_Financials!$A$2:$A$76="Reliance Industries")*(Raw_Financials!$B$2:$B$76="2020"),0)+1),""))/(IFERROR(INDEX(Raw_Financials!$M$2:$M$76, MATCH(1, (Raw_Financials!$A$2:$A$76="Reliance Industries")*(Raw_Financials!$B$2:$B$76="2020"),0)+1),"")))</f>
        <v>1.9729484521964307</v>
      </c>
      <c r="H2" cm="1">
        <f t="array" ref="H2">IF(OR(IFERROR(INDEX(Raw_Financials!$M$2:$M$76, MATCH(1, (Raw_Financials!$A$2:$A$76="Reliance Industries")*(Raw_Financials!$B$2:$B$76="2020"),0)+1),"")="",IFERROR(INDEX(Raw_Financials!$L$2:$L$76, MATCH(1, (Raw_Financials!$A$2:$A$76="Reliance Industries")*(Raw_Financials!$B$2:$B$76="2020"),0)+1),"")=""),"",(IFERROR(INDEX(Raw_Financials!$M$2:$M$76, MATCH(1, (Raw_Financials!$A$2:$A$76="Reliance Industries")*(Raw_Financials!$B$2:$B$76="2020"),0)+1),""))/(IFERROR(INDEX(Raw_Financials!$L$2:$L$76, MATCH(1, (Raw_Financials!$A$2:$A$76="Reliance Industries")*(Raw_Financials!$B$2:$B$76="2020"),0)+1),"")))</f>
        <v>5.3769117324045306</v>
      </c>
      <c r="I2" cm="1">
        <f t="array" ref="I2">IF(OR(IFERROR(INDEX(Raw_Financials!$N$2:$N$76, MATCH(1, (Raw_Financials!$A$2:$A$76="Reliance Industries")*(Raw_Financials!$B$2:$B$76="2020"),0)+1),"")="",IFERROR(INDEX(Raw_Financials!$J$2:$J$76, MATCH(1, (Raw_Financials!$A$2:$A$76="Reliance Industries")*(Raw_Financials!$B$2:$B$76="2020"),0)+1),"")=""),"",(IFERROR(INDEX(Raw_Financials!$N$2:$N$76, MATCH(1, (Raw_Financials!$A$2:$A$76="Reliance Industries")*(Raw_Financials!$B$2:$B$76="2020"),0)+1),""))-(IFERROR(INDEX(Raw_Financials!$J$2:$J$76, MATCH(1, (Raw_Financials!$A$2:$A$76="Reliance Industries")*(Raw_Financials!$B$2:$B$76="2020"),0)+1),"")))</f>
        <v>9570.39</v>
      </c>
      <c r="J2" cm="1">
        <f t="array" ref="J2">IF(OR(IFERROR(INDEX(Raw_Financials!$M$2:$M$76, MATCH(1, (Raw_Financials!$A$2:$A$76="Reliance Industries")*(Raw_Financials!$B$2:$B$76="2020"),0)+1),"")="",IFERROR(INDEX(Raw_Financials!$C$2:$C$76, MATCH(1, (Raw_Financials!$A$2:$A$76="Reliance Industries")*(Raw_Financials!$B$2:$B$76="2020"),0)+1),"")=""),"",(IFERROR(INDEX(Raw_Financials!$M$2:$M$76, MATCH(1, (Raw_Financials!$A$2:$A$76="Reliance Industries")*(Raw_Financials!$B$2:$B$76="2020"),0)+1),""))/(IFERROR(INDEX(Raw_Financials!$C$2:$C$76, MATCH(1, (Raw_Financials!$A$2:$A$76="Reliance Industries")*(Raw_Financials!$B$2:$B$76="2020"),0)+1),"")))</f>
        <v>0.75221969533128685</v>
      </c>
      <c r="K2" cm="1">
        <f t="array" ref="K2">IF(OR(IFERROR(INDEX(Raw_ESG!$C$2:$C$76, MATCH(1, (Raw_ESG!$A$2:$A$76="Reliance Industries")*(Raw_ESG!$B$2:$B$76="2020"),0)+1),"")="",IFERROR(INDEX(Raw_Financials!$J$2:$J$76, MATCH(1, (Raw_Financials!$A$2:$A$76="Reliance Industries")*(Raw_Financials!$B$2:$B$76="2020"),0)+1),"")=""),"",(IFERROR(INDEX(Raw_ESG!$C$2:$C$76, MATCH(1, (Raw_ESG!$A$2:$A$76="Reliance Industries")*(Raw_ESG!$B$2:$B$76="2020"),0)+1),""))/(IFERROR(INDEX(Raw_Financials!$J$2:$J$76, MATCH(1, (Raw_Financials!$A$2:$A$76="Reliance Industries")*(Raw_Financials!$B$2:$B$76="2020"),0)+1),"")))</f>
        <v>0.91568715323583438</v>
      </c>
      <c r="L2" cm="1">
        <f t="array" ref="L2">IF(OR(IFERROR(INDEX(Raw_ESG!$D$2:$D$76, MATCH(1, (Raw_ESG!$A$2:$A$76="Reliance Industries")*(Raw_ESG!$B$2:$B$76="2020"),0)+1),"")="",IFERROR(INDEX(Raw_Financials!$E$2:$E$76, MATCH(1, (Raw_Financials!$A$2:$A$76="Reliance Industries")*(Raw_Financials!$B$2:$B$76="2020"),0)+1),"")=""),"",(IFERROR(INDEX(Raw_ESG!$D$2:$D$76, MATCH(1, (Raw_ESG!$A$2:$A$76="Reliance Industries")*(Raw_ESG!$B$2:$B$76="2020"),0)+1),""))/(IFERROR(INDEX(Raw_Financials!$E$2:$E$76, MATCH(1, (Raw_Financials!$A$2:$A$76="Reliance Industries")*(Raw_Financials!$B$2:$B$76="2020"),0)+1),"")))</f>
        <v>0.16540783090823666</v>
      </c>
      <c r="M2" cm="1">
        <f t="array" ref="M2">IF(OR(IFERROR(INDEX(Raw_ESG!$E$2:$E$76, MATCH(1, (Raw_ESG!$A$2:$A$76="Reliance Industries")*(Raw_ESG!$B$2:$B$76="2020"),0)+1),"")="",IFERROR(INDEX(Raw_ESG!$F$2:$F$76, MATCH(1, (Raw_ESG!$A$2:$A$76="Reliance Industries")*(Raw_ESG!$B$2:$B$76="2020"),0)+1),"")=""),"",(IFERROR(INDEX(Raw_ESG!$E$2:$E$76, MATCH(1, (Raw_ESG!$A$2:$A$76="Reliance Industries")*(Raw_ESG!$B$2:$B$76="2020"),0)+1),""))+(IFERROR(INDEX(Raw_ESG!$F$2:$F$76, MATCH(1, (Raw_ESG!$A$2:$A$76="Reliance Industries")*(Raw_ESG!$B$2:$B$76="2020"),0)+1),"")))</f>
        <v>147606.72</v>
      </c>
      <c r="N2" cm="1">
        <f t="array" ref="N2">IFERROR(INDEX(Raw_ESG!$G$2:$G$76, MATCH(1, (Raw_ESG!$A$2:$A$76="Reliance Industries")*(Raw_ESG!$B$2:$B$76="2020"),0)+1),"")</f>
        <v>66.569999999999993</v>
      </c>
    </row>
    <row r="3" spans="1:14" x14ac:dyDescent="0.35">
      <c r="A3" t="s">
        <v>2</v>
      </c>
      <c r="B3" t="s">
        <v>34</v>
      </c>
      <c r="C3" cm="1">
        <f t="array" ref="C3">IF(OR(IFERROR(INDEX(Raw_Financials!$E$2:$E$76, MATCH(1, (Raw_Financials!$A$2:$A$76="Reliance Industries")*(Raw_Financials!$B$2:$B$76="2021"),0)+1),"")="",IFERROR(INDEX(Raw_Financials!$D$2:$D$76, MATCH(1, (Raw_Financials!$A$2:$A$76="Reliance Industries")*(Raw_Financials!$B$2:$B$76="2021"),0)+1),"")=""),"",(IFERROR(INDEX(Raw_Financials!$D$2:$D$76, MATCH(1, (Raw_Financials!$A$2:$A$76="Reliance Industries")*(Raw_Financials!$B$2:$B$76="2021"),0)+1),""))/(IFERROR(INDEX(Raw_Financials!$E$2:$E$76, MATCH(1, (Raw_Financials!$A$2:$A$76="Reliance Industries")*(Raw_Financials!$B$2:$B$76="2021"),0)+1),"")))</f>
        <v>6.3288497310098155E-2</v>
      </c>
      <c r="D3" cm="1">
        <f t="array" ref="D3">IF(OR(IFERROR(INDEX(Raw_Financials!$E$2:$E$76, MATCH(1, (Raw_Financials!$A$2:$A$76="Reliance Industries")*(Raw_Financials!$B$2:$B$76="2021"),0)+1),"")="",IFERROR(INDEX(Raw_Financials!$C$2:$C$76, MATCH(1, (Raw_Financials!$A$2:$A$76="Reliance Industries")*(Raw_Financials!$B$2:$B$76="2021"),0)+1),"")=""),"",(IFERROR(INDEX(Raw_Financials!$C$2:$C$76, MATCH(1, (Raw_Financials!$A$2:$A$76="Reliance Industries")*(Raw_Financials!$B$2:$B$76="2021"),0)+1),""))/(IFERROR(INDEX(Raw_Financials!$E$2:$E$76, MATCH(1, (Raw_Financials!$A$2:$A$76="Reliance Industries")*(Raw_Financials!$B$2:$B$76="2021"),0)+1),"")))</f>
        <v>0.65335909145288673</v>
      </c>
      <c r="E3" cm="1">
        <f t="array" ref="E3">IF(OR(IFERROR(INDEX(Raw_Financials!$G$2:$G$76, MATCH(1, (Raw_Financials!$A$2:$A$76="Reliance Industries")*(Raw_Financials!$B$2:$B$76="2021"),0)+1),"")="",IFERROR(INDEX(Raw_Financials!$H$2:$H$76, MATCH(1, (Raw_Financials!$A$2:$A$76="Reliance Industries")*(Raw_Financials!$B$2:$B$76="2021"),0)+1),"")=""),"",(IFERROR(INDEX(Raw_Financials!$G$2:$G$76, MATCH(1, (Raw_Financials!$A$2:$A$76="Reliance Industries")*(Raw_Financials!$B$2:$B$76="2021"),0)+1),""))-(IFERROR(INDEX(Raw_Financials!$H$2:$H$76, MATCH(1, (Raw_Financials!$A$2:$A$76="Reliance Industries")*(Raw_Financials!$B$2:$B$76="2021"),0)+1),"")))</f>
        <v>19373.36</v>
      </c>
      <c r="F3" cm="1">
        <f t="array" ref="F3">IF(OR(IFERROR(INDEX(Raw_Financials!$C$2:$C$76, MATCH(1, (Raw_Financials!$A$2:$A$76="Reliance Industries")*(Raw_Financials!$B$2:$B$76="2021"),0)+1),"")="",IF(OR(IFERROR(INDEX(Raw_Financials!$G$2:$G$76, MATCH(1, (Raw_Financials!$A$2:$A$76="Reliance Industries")*(Raw_Financials!$B$2:$B$76="2021"),0)+1),"")="",IFERROR(INDEX(Raw_Financials!$H$2:$H$76, MATCH(1, (Raw_Financials!$A$2:$A$76="Reliance Industries")*(Raw_Financials!$B$2:$B$76="2021"),0)+1),"")=""),"",(IFERROR(INDEX(Raw_Financials!$G$2:$G$76, MATCH(1, (Raw_Financials!$A$2:$A$76="Reliance Industries")*(Raw_Financials!$B$2:$B$76="2021"),0)+1),""))-(IFERROR(INDEX(Raw_Financials!$H$2:$H$76, MATCH(1, (Raw_Financials!$A$2:$A$76="Reliance Industries")*(Raw_Financials!$B$2:$B$76="2021"),0)+1),"")))=""),"",(IFERROR(INDEX(Raw_Financials!$C$2:$C$76, MATCH(1, (Raw_Financials!$A$2:$A$76="Reliance Industries")*(Raw_Financials!$B$2:$B$76="2021"),0)+1),""))/(IF(OR(IFERROR(INDEX(Raw_Financials!$G$2:$G$76, MATCH(1, (Raw_Financials!$A$2:$A$76="Reliance Industries")*(Raw_Financials!$B$2:$B$76="2021"),0)+1),"")="",IFERROR(INDEX(Raw_Financials!$H$2:$H$76, MATCH(1, (Raw_Financials!$A$2:$A$76="Reliance Industries")*(Raw_Financials!$B$2:$B$76="2021"),0)+1),"")=""),"",(IFERROR(INDEX(Raw_Financials!$G$2:$G$76, MATCH(1, (Raw_Financials!$A$2:$A$76="Reliance Industries")*(Raw_Financials!$B$2:$B$76="2021"),0)+1),""))-(IFERROR(INDEX(Raw_Financials!$H$2:$H$76, MATCH(1, (Raw_Financials!$A$2:$A$76="Reliance Industries")*(Raw_Financials!$B$2:$B$76="2021"),0)+1),"")))))</f>
        <v>2.8584220806303087</v>
      </c>
      <c r="G3" cm="1">
        <f t="array" ref="G3">IF(OR(IFERROR(INDEX(Raw_Financials!$O$2:$O$76, MATCH(1, (Raw_Financials!$A$2:$A$76="Reliance Industries")*(Raw_Financials!$B$2:$B$76="2021"),0)+1),"")="",IFERROR(INDEX(Raw_Financials!$M$2:$M$76, MATCH(1, (Raw_Financials!$A$2:$A$76="Reliance Industries")*(Raw_Financials!$B$2:$B$76="2021"),0)+1),"")=""),"",(IFERROR(INDEX(Raw_Financials!$O$2:$O$76, MATCH(1, (Raw_Financials!$A$2:$A$76="Reliance Industries")*(Raw_Financials!$B$2:$B$76="2021"),0)+1),""))/(IFERROR(INDEX(Raw_Financials!$M$2:$M$76, MATCH(1, (Raw_Financials!$A$2:$A$76="Reliance Industries")*(Raw_Financials!$B$2:$B$76="2021"),0)+1),"")))</f>
        <v>2.1477329359299593</v>
      </c>
      <c r="H3" cm="1">
        <f t="array" ref="H3">IF(OR(IFERROR(INDEX(Raw_Financials!$M$2:$M$76, MATCH(1, (Raw_Financials!$A$2:$A$76="Reliance Industries")*(Raw_Financials!$B$2:$B$76="2021"),0)+1),"")="",IFERROR(INDEX(Raw_Financials!$L$2:$L$76, MATCH(1, (Raw_Financials!$A$2:$A$76="Reliance Industries")*(Raw_Financials!$B$2:$B$76="2021"),0)+1),"")=""),"",(IFERROR(INDEX(Raw_Financials!$M$2:$M$76, MATCH(1, (Raw_Financials!$A$2:$A$76="Reliance Industries")*(Raw_Financials!$B$2:$B$76="2021"),0)+1),""))/(IFERROR(INDEX(Raw_Financials!$L$2:$L$76, MATCH(1, (Raw_Financials!$A$2:$A$76="Reliance Industries")*(Raw_Financials!$B$2:$B$76="2021"),0)+1),"")))</f>
        <v>2.6465422612513723</v>
      </c>
      <c r="I3" cm="1">
        <f t="array" ref="I3">IF(OR(IFERROR(INDEX(Raw_Financials!$N$2:$N$76, MATCH(1, (Raw_Financials!$A$2:$A$76="Reliance Industries")*(Raw_Financials!$B$2:$B$76="2021"),0)+1),"")="",IFERROR(INDEX(Raw_Financials!$J$2:$J$76, MATCH(1, (Raw_Financials!$A$2:$A$76="Reliance Industries")*(Raw_Financials!$B$2:$B$76="2021"),0)+1),"")=""),"",(IFERROR(INDEX(Raw_Financials!$N$2:$N$76, MATCH(1, (Raw_Financials!$A$2:$A$76="Reliance Industries")*(Raw_Financials!$B$2:$B$76="2021"),0)+1),""))-(IFERROR(INDEX(Raw_Financials!$J$2:$J$76, MATCH(1, (Raw_Financials!$A$2:$A$76="Reliance Industries")*(Raw_Financials!$B$2:$B$76="2021"),0)+1),"")))</f>
        <v>18902.699999999997</v>
      </c>
      <c r="J3" cm="1">
        <f t="array" ref="J3">IF(OR(IFERROR(INDEX(Raw_Financials!$M$2:$M$76, MATCH(1, (Raw_Financials!$A$2:$A$76="Reliance Industries")*(Raw_Financials!$B$2:$B$76="2021"),0)+1),"")="",IFERROR(INDEX(Raw_Financials!$C$2:$C$76, MATCH(1, (Raw_Financials!$A$2:$A$76="Reliance Industries")*(Raw_Financials!$B$2:$B$76="2021"),0)+1),"")=""),"",(IFERROR(INDEX(Raw_Financials!$M$2:$M$76, MATCH(1, (Raw_Financials!$A$2:$A$76="Reliance Industries")*(Raw_Financials!$B$2:$B$76="2021"),0)+1),""))/(IFERROR(INDEX(Raw_Financials!$C$2:$C$76, MATCH(1, (Raw_Financials!$A$2:$A$76="Reliance Industries")*(Raw_Financials!$B$2:$B$76="2021"),0)+1),"")))</f>
        <v>0.22465474985752271</v>
      </c>
      <c r="K3" cm="1">
        <f t="array" ref="K3">IF(OR(IFERROR(INDEX(Raw_ESG!$C$2:$C$76, MATCH(1, (Raw_ESG!$A$2:$A$76="Reliance Industries")*(Raw_ESG!$B$2:$B$76="2021"),0)+1),"")="",IFERROR(INDEX(Raw_Financials!$J$2:$J$76, MATCH(1, (Raw_Financials!$A$2:$A$76="Reliance Industries")*(Raw_Financials!$B$2:$B$76="2021"),0)+1),"")=""),"",(IFERROR(INDEX(Raw_ESG!$C$2:$C$76, MATCH(1, (Raw_ESG!$A$2:$A$76="Reliance Industries")*(Raw_ESG!$B$2:$B$76="2021"),0)+1),""))/(IFERROR(INDEX(Raw_Financials!$J$2:$J$76, MATCH(1, (Raw_Financials!$A$2:$A$76="Reliance Industries")*(Raw_Financials!$B$2:$B$76="2021"),0)+1),"")))</f>
        <v>1.0306606299107202</v>
      </c>
      <c r="L3" cm="1">
        <f t="array" ref="L3">IF(OR(IFERROR(INDEX(Raw_ESG!$D$2:$D$76, MATCH(1, (Raw_ESG!$A$2:$A$76="Reliance Industries")*(Raw_ESG!$B$2:$B$76="2021"),0)+1),"")="",IFERROR(INDEX(Raw_Financials!$E$2:$E$76, MATCH(1, (Raw_Financials!$A$2:$A$76="Reliance Industries")*(Raw_Financials!$B$2:$B$76="2021"),0)+1),"")=""),"",(IFERROR(INDEX(Raw_ESG!$D$2:$D$76, MATCH(1, (Raw_ESG!$A$2:$A$76="Reliance Industries")*(Raw_ESG!$B$2:$B$76="2021"),0)+1),""))/(IFERROR(INDEX(Raw_Financials!$E$2:$E$76, MATCH(1, (Raw_Financials!$A$2:$A$76="Reliance Industries")*(Raw_Financials!$B$2:$B$76="2021"),0)+1),"")))</f>
        <v>0.13545535782336809</v>
      </c>
      <c r="M3" cm="1">
        <f t="array" ref="M3">IF(OR(IFERROR(INDEX(Raw_ESG!$E$2:$E$76, MATCH(1, (Raw_ESG!$A$2:$A$76="Reliance Industries")*(Raw_ESG!$B$2:$B$76="2021"),0)+1),"")="",IFERROR(INDEX(Raw_ESG!$F$2:$F$76, MATCH(1, (Raw_ESG!$A$2:$A$76="Reliance Industries")*(Raw_ESG!$B$2:$B$76="2021"),0)+1),"")=""),"",(IFERROR(INDEX(Raw_ESG!$E$2:$E$76, MATCH(1, (Raw_ESG!$A$2:$A$76="Reliance Industries")*(Raw_ESG!$B$2:$B$76="2021"),0)+1),""))+(IFERROR(INDEX(Raw_ESG!$F$2:$F$76, MATCH(1, (Raw_ESG!$A$2:$A$76="Reliance Industries")*(Raw_ESG!$B$2:$B$76="2021"),0)+1),"")))</f>
        <v>109144.38</v>
      </c>
      <c r="N3" cm="1">
        <f t="array" ref="N3">IFERROR(INDEX(Raw_ESG!$G$2:$G$76, MATCH(1, (Raw_ESG!$A$2:$A$76="Reliance Industries")*(Raw_ESG!$B$2:$B$76="2021"),0)+1),"")</f>
        <v>67.03</v>
      </c>
    </row>
    <row r="4" spans="1:14" x14ac:dyDescent="0.35">
      <c r="A4" t="s">
        <v>2</v>
      </c>
      <c r="B4" t="s">
        <v>35</v>
      </c>
      <c r="C4" cm="1">
        <f t="array" ref="C4">IF(OR(IFERROR(INDEX(Raw_Financials!$E$2:$E$76, MATCH(1, (Raw_Financials!$A$2:$A$76="Reliance Industries")*(Raw_Financials!$B$2:$B$76="2022"),0)+1),"")="",IFERROR(INDEX(Raw_Financials!$D$2:$D$76, MATCH(1, (Raw_Financials!$A$2:$A$76="Reliance Industries")*(Raw_Financials!$B$2:$B$76="2022"),0)+1),"")=""),"",(IFERROR(INDEX(Raw_Financials!$D$2:$D$76, MATCH(1, (Raw_Financials!$A$2:$A$76="Reliance Industries")*(Raw_Financials!$B$2:$B$76="2022"),0)+1),""))/(IFERROR(INDEX(Raw_Financials!$E$2:$E$76, MATCH(1, (Raw_Financials!$A$2:$A$76="Reliance Industries")*(Raw_Financials!$B$2:$B$76="2022"),0)+1),"")))</f>
        <v>4.2439588994720605E-2</v>
      </c>
      <c r="D4" cm="1">
        <f t="array" ref="D4">IF(OR(IFERROR(INDEX(Raw_Financials!$E$2:$E$76, MATCH(1, (Raw_Financials!$A$2:$A$76="Reliance Industries")*(Raw_Financials!$B$2:$B$76="2022"),0)+1),"")="",IFERROR(INDEX(Raw_Financials!$C$2:$C$76, MATCH(1, (Raw_Financials!$A$2:$A$76="Reliance Industries")*(Raw_Financials!$B$2:$B$76="2022"),0)+1),"")=""),"",(IFERROR(INDEX(Raw_Financials!$C$2:$C$76, MATCH(1, (Raw_Financials!$A$2:$A$76="Reliance Industries")*(Raw_Financials!$B$2:$B$76="2022"),0)+1),""))/(IFERROR(INDEX(Raw_Financials!$E$2:$E$76, MATCH(1, (Raw_Financials!$A$2:$A$76="Reliance Industries")*(Raw_Financials!$B$2:$B$76="2022"),0)+1),"")))</f>
        <v>0.37988389009360157</v>
      </c>
      <c r="E4" cm="1">
        <f t="array" ref="E4">IF(OR(IFERROR(INDEX(Raw_Financials!$G$2:$G$76, MATCH(1, (Raw_Financials!$A$2:$A$76="Reliance Industries")*(Raw_Financials!$B$2:$B$76="2022"),0)+1),"")="",IFERROR(INDEX(Raw_Financials!$H$2:$H$76, MATCH(1, (Raw_Financials!$A$2:$A$76="Reliance Industries")*(Raw_Financials!$B$2:$B$76="2022"),0)+1),"")=""),"",(IFERROR(INDEX(Raw_Financials!$G$2:$G$76, MATCH(1, (Raw_Financials!$A$2:$A$76="Reliance Industries")*(Raw_Financials!$B$2:$B$76="2022"),0)+1),""))-(IFERROR(INDEX(Raw_Financials!$H$2:$H$76, MATCH(1, (Raw_Financials!$A$2:$A$76="Reliance Industries")*(Raw_Financials!$B$2:$B$76="2022"),0)+1),"")))</f>
        <v>-16693.36</v>
      </c>
      <c r="F4" cm="1">
        <f t="array" ref="F4">IF(OR(IFERROR(INDEX(Raw_Financials!$C$2:$C$76, MATCH(1, (Raw_Financials!$A$2:$A$76="Reliance Industries")*(Raw_Financials!$B$2:$B$76="2022"),0)+1),"")="",IF(OR(IFERROR(INDEX(Raw_Financials!$G$2:$G$76, MATCH(1, (Raw_Financials!$A$2:$A$76="Reliance Industries")*(Raw_Financials!$B$2:$B$76="2022"),0)+1),"")="",IFERROR(INDEX(Raw_Financials!$H$2:$H$76, MATCH(1, (Raw_Financials!$A$2:$A$76="Reliance Industries")*(Raw_Financials!$B$2:$B$76="2022"),0)+1),"")=""),"",(IFERROR(INDEX(Raw_Financials!$G$2:$G$76, MATCH(1, (Raw_Financials!$A$2:$A$76="Reliance Industries")*(Raw_Financials!$B$2:$B$76="2022"),0)+1),""))-(IFERROR(INDEX(Raw_Financials!$H$2:$H$76, MATCH(1, (Raw_Financials!$A$2:$A$76="Reliance Industries")*(Raw_Financials!$B$2:$B$76="2022"),0)+1),"")))=""),"",(IFERROR(INDEX(Raw_Financials!$C$2:$C$76, MATCH(1, (Raw_Financials!$A$2:$A$76="Reliance Industries")*(Raw_Financials!$B$2:$B$76="2022"),0)+1),""))/(IF(OR(IFERROR(INDEX(Raw_Financials!$G$2:$G$76, MATCH(1, (Raw_Financials!$A$2:$A$76="Reliance Industries")*(Raw_Financials!$B$2:$B$76="2022"),0)+1),"")="",IFERROR(INDEX(Raw_Financials!$H$2:$H$76, MATCH(1, (Raw_Financials!$A$2:$A$76="Reliance Industries")*(Raw_Financials!$B$2:$B$76="2022"),0)+1),"")=""),"",(IFERROR(INDEX(Raw_Financials!$G$2:$G$76, MATCH(1, (Raw_Financials!$A$2:$A$76="Reliance Industries")*(Raw_Financials!$B$2:$B$76="2022"),0)+1),""))-(IFERROR(INDEX(Raw_Financials!$H$2:$H$76, MATCH(1, (Raw_Financials!$A$2:$A$76="Reliance Industries")*(Raw_Financials!$B$2:$B$76="2022"),0)+1),"")))))</f>
        <v>-3.4819898450641453</v>
      </c>
      <c r="G4" cm="1">
        <f t="array" ref="G4">IF(OR(IFERROR(INDEX(Raw_Financials!$O$2:$O$76, MATCH(1, (Raw_Financials!$A$2:$A$76="Reliance Industries")*(Raw_Financials!$B$2:$B$76="2022"),0)+1),"")="",IFERROR(INDEX(Raw_Financials!$M$2:$M$76, MATCH(1, (Raw_Financials!$A$2:$A$76="Reliance Industries")*(Raw_Financials!$B$2:$B$76="2022"),0)+1),"")=""),"",(IFERROR(INDEX(Raw_Financials!$O$2:$O$76, MATCH(1, (Raw_Financials!$A$2:$A$76="Reliance Industries")*(Raw_Financials!$B$2:$B$76="2022"),0)+1),""))/(IFERROR(INDEX(Raw_Financials!$M$2:$M$76, MATCH(1, (Raw_Financials!$A$2:$A$76="Reliance Industries")*(Raw_Financials!$B$2:$B$76="2022"),0)+1),"")))</f>
        <v>1.2237068826070383</v>
      </c>
      <c r="H4" cm="1">
        <f t="array" ref="H4">IF(OR(IFERROR(INDEX(Raw_Financials!$M$2:$M$76, MATCH(1, (Raw_Financials!$A$2:$A$76="Reliance Industries")*(Raw_Financials!$B$2:$B$76="2022"),0)+1),"")="",IFERROR(INDEX(Raw_Financials!$L$2:$L$76, MATCH(1, (Raw_Financials!$A$2:$A$76="Reliance Industries")*(Raw_Financials!$B$2:$B$76="2022"),0)+1),"")=""),"",(IFERROR(INDEX(Raw_Financials!$M$2:$M$76, MATCH(1, (Raw_Financials!$A$2:$A$76="Reliance Industries")*(Raw_Financials!$B$2:$B$76="2022"),0)+1),""))/(IFERROR(INDEX(Raw_Financials!$L$2:$L$76, MATCH(1, (Raw_Financials!$A$2:$A$76="Reliance Industries")*(Raw_Financials!$B$2:$B$76="2022"),0)+1),"")))</f>
        <v>5.1803406503324529</v>
      </c>
      <c r="I4" cm="1">
        <f t="array" ref="I4">IF(OR(IFERROR(INDEX(Raw_Financials!$N$2:$N$76, MATCH(1, (Raw_Financials!$A$2:$A$76="Reliance Industries")*(Raw_Financials!$B$2:$B$76="2022"),0)+1),"")="",IFERROR(INDEX(Raw_Financials!$J$2:$J$76, MATCH(1, (Raw_Financials!$A$2:$A$76="Reliance Industries")*(Raw_Financials!$B$2:$B$76="2022"),0)+1),"")=""),"",(IFERROR(INDEX(Raw_Financials!$N$2:$N$76, MATCH(1, (Raw_Financials!$A$2:$A$76="Reliance Industries")*(Raw_Financials!$B$2:$B$76="2022"),0)+1),""))-(IFERROR(INDEX(Raw_Financials!$J$2:$J$76, MATCH(1, (Raw_Financials!$A$2:$A$76="Reliance Industries")*(Raw_Financials!$B$2:$B$76="2022"),0)+1),"")))</f>
        <v>317.31999999999971</v>
      </c>
      <c r="J4" cm="1">
        <f t="array" ref="J4">IF(OR(IFERROR(INDEX(Raw_Financials!$M$2:$M$76, MATCH(1, (Raw_Financials!$A$2:$A$76="Reliance Industries")*(Raw_Financials!$B$2:$B$76="2022"),0)+1),"")="",IFERROR(INDEX(Raw_Financials!$C$2:$C$76, MATCH(1, (Raw_Financials!$A$2:$A$76="Reliance Industries")*(Raw_Financials!$B$2:$B$76="2022"),0)+1),"")=""),"",(IFERROR(INDEX(Raw_Financials!$M$2:$M$76, MATCH(1, (Raw_Financials!$A$2:$A$76="Reliance Industries")*(Raw_Financials!$B$2:$B$76="2022"),0)+1),""))/(IFERROR(INDEX(Raw_Financials!$C$2:$C$76, MATCH(1, (Raw_Financials!$A$2:$A$76="Reliance Industries")*(Raw_Financials!$B$2:$B$76="2022"),0)+1),"")))</f>
        <v>0.48923762488148614</v>
      </c>
      <c r="K4" cm="1">
        <f t="array" ref="K4">IF(OR(IFERROR(INDEX(Raw_ESG!$C$2:$C$76, MATCH(1, (Raw_ESG!$A$2:$A$76="Reliance Industries")*(Raw_ESG!$B$2:$B$76="2022"),0)+1),"")="",IFERROR(INDEX(Raw_Financials!$J$2:$J$76, MATCH(1, (Raw_Financials!$A$2:$A$76="Reliance Industries")*(Raw_Financials!$B$2:$B$76="2022"),0)+1),"")=""),"",(IFERROR(INDEX(Raw_ESG!$C$2:$C$76, MATCH(1, (Raw_ESG!$A$2:$A$76="Reliance Industries")*(Raw_ESG!$B$2:$B$76="2022"),0)+1),""))/(IFERROR(INDEX(Raw_Financials!$J$2:$J$76, MATCH(1, (Raw_Financials!$A$2:$A$76="Reliance Industries")*(Raw_Financials!$B$2:$B$76="2022"),0)+1),"")))</f>
        <v>0.38161124113319983</v>
      </c>
      <c r="L4" cm="1">
        <f t="array" ref="L4">IF(OR(IFERROR(INDEX(Raw_ESG!$D$2:$D$76, MATCH(1, (Raw_ESG!$A$2:$A$76="Reliance Industries")*(Raw_ESG!$B$2:$B$76="2022"),0)+1),"")="",IFERROR(INDEX(Raw_Financials!$E$2:$E$76, MATCH(1, (Raw_Financials!$A$2:$A$76="Reliance Industries")*(Raw_Financials!$B$2:$B$76="2022"),0)+1),"")=""),"",(IFERROR(INDEX(Raw_ESG!$D$2:$D$76, MATCH(1, (Raw_ESG!$A$2:$A$76="Reliance Industries")*(Raw_ESG!$B$2:$B$76="2022"),0)+1),""))/(IFERROR(INDEX(Raw_Financials!$E$2:$E$76, MATCH(1, (Raw_Financials!$A$2:$A$76="Reliance Industries")*(Raw_Financials!$B$2:$B$76="2022"),0)+1),"")))</f>
        <v>0.11221023173618491</v>
      </c>
      <c r="M4" cm="1">
        <f t="array" ref="M4">IF(OR(IFERROR(INDEX(Raw_ESG!$E$2:$E$76, MATCH(1, (Raw_ESG!$A$2:$A$76="Reliance Industries")*(Raw_ESG!$B$2:$B$76="2022"),0)+1),"")="",IFERROR(INDEX(Raw_ESG!$F$2:$F$76, MATCH(1, (Raw_ESG!$A$2:$A$76="Reliance Industries")*(Raw_ESG!$B$2:$B$76="2022"),0)+1),"")=""),"",(IFERROR(INDEX(Raw_ESG!$E$2:$E$76, MATCH(1, (Raw_ESG!$A$2:$A$76="Reliance Industries")*(Raw_ESG!$B$2:$B$76="2022"),0)+1),""))+(IFERROR(INDEX(Raw_ESG!$F$2:$F$76, MATCH(1, (Raw_ESG!$A$2:$A$76="Reliance Industries")*(Raw_ESG!$B$2:$B$76="2022"),0)+1),"")))</f>
        <v>168547.61</v>
      </c>
      <c r="N4" cm="1">
        <f t="array" ref="N4">IFERROR(INDEX(Raw_ESG!$G$2:$G$76, MATCH(1, (Raw_ESG!$A$2:$A$76="Reliance Industries")*(Raw_ESG!$B$2:$B$76="2022"),0)+1),"")</f>
        <v>71.87</v>
      </c>
    </row>
    <row r="5" spans="1:14" x14ac:dyDescent="0.35">
      <c r="A5" t="s">
        <v>2</v>
      </c>
      <c r="B5" t="s">
        <v>36</v>
      </c>
      <c r="C5" cm="1">
        <f t="array" ref="C5">IF(OR(IFERROR(INDEX(Raw_Financials!$E$2:$E$76, MATCH(1, (Raw_Financials!$A$2:$A$76="Reliance Industries")*(Raw_Financials!$B$2:$B$76="2023"),0)+1),"")="",IFERROR(INDEX(Raw_Financials!$D$2:$D$76, MATCH(1, (Raw_Financials!$A$2:$A$76="Reliance Industries")*(Raw_Financials!$B$2:$B$76="2023"),0)+1),"")=""),"",(IFERROR(INDEX(Raw_Financials!$D$2:$D$76, MATCH(1, (Raw_Financials!$A$2:$A$76="Reliance Industries")*(Raw_Financials!$B$2:$B$76="2023"),0)+1),""))/(IFERROR(INDEX(Raw_Financials!$E$2:$E$76, MATCH(1, (Raw_Financials!$A$2:$A$76="Reliance Industries")*(Raw_Financials!$B$2:$B$76="2023"),0)+1),"")))</f>
        <v>3.0960666774270895E-2</v>
      </c>
      <c r="D5" cm="1">
        <f t="array" ref="D5">IF(OR(IFERROR(INDEX(Raw_Financials!$E$2:$E$76, MATCH(1, (Raw_Financials!$A$2:$A$76="Reliance Industries")*(Raw_Financials!$B$2:$B$76="2023"),0)+1),"")="",IFERROR(INDEX(Raw_Financials!$C$2:$C$76, MATCH(1, (Raw_Financials!$A$2:$A$76="Reliance Industries")*(Raw_Financials!$B$2:$B$76="2023"),0)+1),"")=""),"",(IFERROR(INDEX(Raw_Financials!$C$2:$C$76, MATCH(1, (Raw_Financials!$A$2:$A$76="Reliance Industries")*(Raw_Financials!$B$2:$B$76="2023"),0)+1),""))/(IFERROR(INDEX(Raw_Financials!$E$2:$E$76, MATCH(1, (Raw_Financials!$A$2:$A$76="Reliance Industries")*(Raw_Financials!$B$2:$B$76="2023"),0)+1),"")))</f>
        <v>0.2229377329247316</v>
      </c>
      <c r="E5" cm="1">
        <f t="array" ref="E5">IF(OR(IFERROR(INDEX(Raw_Financials!$G$2:$G$76, MATCH(1, (Raw_Financials!$A$2:$A$76="Reliance Industries")*(Raw_Financials!$B$2:$B$76="2023"),0)+1),"")="",IFERROR(INDEX(Raw_Financials!$H$2:$H$76, MATCH(1, (Raw_Financials!$A$2:$A$76="Reliance Industries")*(Raw_Financials!$B$2:$B$76="2023"),0)+1),"")=""),"",(IFERROR(INDEX(Raw_Financials!$G$2:$G$76, MATCH(1, (Raw_Financials!$A$2:$A$76="Reliance Industries")*(Raw_Financials!$B$2:$B$76="2023"),0)+1),""))-(IFERROR(INDEX(Raw_Financials!$H$2:$H$76, MATCH(1, (Raw_Financials!$A$2:$A$76="Reliance Industries")*(Raw_Financials!$B$2:$B$76="2023"),0)+1),"")))</f>
        <v>-43.5</v>
      </c>
      <c r="F5" cm="1">
        <f t="array" ref="F5">IF(OR(IFERROR(INDEX(Raw_Financials!$C$2:$C$76, MATCH(1, (Raw_Financials!$A$2:$A$76="Reliance Industries")*(Raw_Financials!$B$2:$B$76="2023"),0)+1),"")="",IF(OR(IFERROR(INDEX(Raw_Financials!$G$2:$G$76, MATCH(1, (Raw_Financials!$A$2:$A$76="Reliance Industries")*(Raw_Financials!$B$2:$B$76="2023"),0)+1),"")="",IFERROR(INDEX(Raw_Financials!$H$2:$H$76, MATCH(1, (Raw_Financials!$A$2:$A$76="Reliance Industries")*(Raw_Financials!$B$2:$B$76="2023"),0)+1),"")=""),"",(IFERROR(INDEX(Raw_Financials!$G$2:$G$76, MATCH(1, (Raw_Financials!$A$2:$A$76="Reliance Industries")*(Raw_Financials!$B$2:$B$76="2023"),0)+1),""))-(IFERROR(INDEX(Raw_Financials!$H$2:$H$76, MATCH(1, (Raw_Financials!$A$2:$A$76="Reliance Industries")*(Raw_Financials!$B$2:$B$76="2023"),0)+1),"")))=""),"",(IFERROR(INDEX(Raw_Financials!$C$2:$C$76, MATCH(1, (Raw_Financials!$A$2:$A$76="Reliance Industries")*(Raw_Financials!$B$2:$B$76="2023"),0)+1),""))/(IF(OR(IFERROR(INDEX(Raw_Financials!$G$2:$G$76, MATCH(1, (Raw_Financials!$A$2:$A$76="Reliance Industries")*(Raw_Financials!$B$2:$B$76="2023"),0)+1),"")="",IFERROR(INDEX(Raw_Financials!$H$2:$H$76, MATCH(1, (Raw_Financials!$A$2:$A$76="Reliance Industries")*(Raw_Financials!$B$2:$B$76="2023"),0)+1),"")=""),"",(IFERROR(INDEX(Raw_Financials!$G$2:$G$76, MATCH(1, (Raw_Financials!$A$2:$A$76="Reliance Industries")*(Raw_Financials!$B$2:$B$76="2023"),0)+1),""))-(IFERROR(INDEX(Raw_Financials!$H$2:$H$76, MATCH(1, (Raw_Financials!$A$2:$A$76="Reliance Industries")*(Raw_Financials!$B$2:$B$76="2023"),0)+1),"")))))</f>
        <v>-1021.4680459770115</v>
      </c>
      <c r="G5" cm="1">
        <f t="array" ref="G5">IF(OR(IFERROR(INDEX(Raw_Financials!$O$2:$O$76, MATCH(1, (Raw_Financials!$A$2:$A$76="Reliance Industries")*(Raw_Financials!$B$2:$B$76="2023"),0)+1),"")="",IFERROR(INDEX(Raw_Financials!$M$2:$M$76, MATCH(1, (Raw_Financials!$A$2:$A$76="Reliance Industries")*(Raw_Financials!$B$2:$B$76="2023"),0)+1),"")=""),"",(IFERROR(INDEX(Raw_Financials!$O$2:$O$76, MATCH(1, (Raw_Financials!$A$2:$A$76="Reliance Industries")*(Raw_Financials!$B$2:$B$76="2023"),0)+1),""))/(IFERROR(INDEX(Raw_Financials!$M$2:$M$76, MATCH(1, (Raw_Financials!$A$2:$A$76="Reliance Industries")*(Raw_Financials!$B$2:$B$76="2023"),0)+1),"")))</f>
        <v>0.99336645064433338</v>
      </c>
      <c r="H5" cm="1">
        <f t="array" ref="H5">IF(OR(IFERROR(INDEX(Raw_Financials!$M$2:$M$76, MATCH(1, (Raw_Financials!$A$2:$A$76="Reliance Industries")*(Raw_Financials!$B$2:$B$76="2023"),0)+1),"")="",IFERROR(INDEX(Raw_Financials!$L$2:$L$76, MATCH(1, (Raw_Financials!$A$2:$A$76="Reliance Industries")*(Raw_Financials!$B$2:$B$76="2023"),0)+1),"")=""),"",(IFERROR(INDEX(Raw_Financials!$M$2:$M$76, MATCH(1, (Raw_Financials!$A$2:$A$76="Reliance Industries")*(Raw_Financials!$B$2:$B$76="2023"),0)+1),""))/(IFERROR(INDEX(Raw_Financials!$L$2:$L$76, MATCH(1, (Raw_Financials!$A$2:$A$76="Reliance Industries")*(Raw_Financials!$B$2:$B$76="2023"),0)+1),"")))</f>
        <v>3.4225757724533019</v>
      </c>
      <c r="I5" cm="1">
        <f t="array" ref="I5">IF(OR(IFERROR(INDEX(Raw_Financials!$N$2:$N$76, MATCH(1, (Raw_Financials!$A$2:$A$76="Reliance Industries")*(Raw_Financials!$B$2:$B$76="2023"),0)+1),"")="",IFERROR(INDEX(Raw_Financials!$J$2:$J$76, MATCH(1, (Raw_Financials!$A$2:$A$76="Reliance Industries")*(Raw_Financials!$B$2:$B$76="2023"),0)+1),"")=""),"",(IFERROR(INDEX(Raw_Financials!$N$2:$N$76, MATCH(1, (Raw_Financials!$A$2:$A$76="Reliance Industries")*(Raw_Financials!$B$2:$B$76="2023"),0)+1),""))-(IFERROR(INDEX(Raw_Financials!$J$2:$J$76, MATCH(1, (Raw_Financials!$A$2:$A$76="Reliance Industries")*(Raw_Financials!$B$2:$B$76="2023"),0)+1),"")))</f>
        <v>4445.92</v>
      </c>
      <c r="J5" cm="1">
        <f t="array" ref="J5">IF(OR(IFERROR(INDEX(Raw_Financials!$M$2:$M$76, MATCH(1, (Raw_Financials!$A$2:$A$76="Reliance Industries")*(Raw_Financials!$B$2:$B$76="2023"),0)+1),"")="",IFERROR(INDEX(Raw_Financials!$C$2:$C$76, MATCH(1, (Raw_Financials!$A$2:$A$76="Reliance Industries")*(Raw_Financials!$B$2:$B$76="2023"),0)+1),"")=""),"",(IFERROR(INDEX(Raw_Financials!$M$2:$M$76, MATCH(1, (Raw_Financials!$A$2:$A$76="Reliance Industries")*(Raw_Financials!$B$2:$B$76="2023"),0)+1),""))/(IFERROR(INDEX(Raw_Financials!$C$2:$C$76, MATCH(1, (Raw_Financials!$A$2:$A$76="Reliance Industries")*(Raw_Financials!$B$2:$B$76="2023"),0)+1),"")))</f>
        <v>0.57264662579393288</v>
      </c>
      <c r="K5" cm="1">
        <f t="array" ref="K5">IF(OR(IFERROR(INDEX(Raw_ESG!$C$2:$C$76, MATCH(1, (Raw_ESG!$A$2:$A$76="Reliance Industries")*(Raw_ESG!$B$2:$B$76="2023"),0)+1),"")="",IFERROR(INDEX(Raw_Financials!$J$2:$J$76, MATCH(1, (Raw_Financials!$A$2:$A$76="Reliance Industries")*(Raw_Financials!$B$2:$B$76="2023"),0)+1),"")=""),"",(IFERROR(INDEX(Raw_ESG!$C$2:$C$76, MATCH(1, (Raw_ESG!$A$2:$A$76="Reliance Industries")*(Raw_ESG!$B$2:$B$76="2023"),0)+1),""))/(IFERROR(INDEX(Raw_Financials!$J$2:$J$76, MATCH(1, (Raw_Financials!$A$2:$A$76="Reliance Industries")*(Raw_Financials!$B$2:$B$76="2023"),0)+1),"")))</f>
        <v>0.25188892310456867</v>
      </c>
      <c r="L5" cm="1">
        <f t="array" ref="L5">IF(OR(IFERROR(INDEX(Raw_ESG!$D$2:$D$76, MATCH(1, (Raw_ESG!$A$2:$A$76="Reliance Industries")*(Raw_ESG!$B$2:$B$76="2023"),0)+1),"")="",IFERROR(INDEX(Raw_Financials!$E$2:$E$76, MATCH(1, (Raw_Financials!$A$2:$A$76="Reliance Industries")*(Raw_Financials!$B$2:$B$76="2023"),0)+1),"")=""),"",(IFERROR(INDEX(Raw_ESG!$D$2:$D$76, MATCH(1, (Raw_ESG!$A$2:$A$76="Reliance Industries")*(Raw_ESG!$B$2:$B$76="2023"),0)+1),""))/(IFERROR(INDEX(Raw_Financials!$E$2:$E$76, MATCH(1, (Raw_Financials!$A$2:$A$76="Reliance Industries")*(Raw_Financials!$B$2:$B$76="2023"),0)+1),"")))</f>
        <v>6.1799915037145783E-2</v>
      </c>
      <c r="M5" cm="1">
        <f t="array" ref="M5">IF(OR(IFERROR(INDEX(Raw_ESG!$E$2:$E$76, MATCH(1, (Raw_ESG!$A$2:$A$76="Reliance Industries")*(Raw_ESG!$B$2:$B$76="2023"),0)+1),"")="",IFERROR(INDEX(Raw_ESG!$F$2:$F$76, MATCH(1, (Raw_ESG!$A$2:$A$76="Reliance Industries")*(Raw_ESG!$B$2:$B$76="2023"),0)+1),"")=""),"",(IFERROR(INDEX(Raw_ESG!$E$2:$E$76, MATCH(1, (Raw_ESG!$A$2:$A$76="Reliance Industries")*(Raw_ESG!$B$2:$B$76="2023"),0)+1),""))+(IFERROR(INDEX(Raw_ESG!$F$2:$F$76, MATCH(1, (Raw_ESG!$A$2:$A$76="Reliance Industries")*(Raw_ESG!$B$2:$B$76="2023"),0)+1),"")))</f>
        <v>205121.97999999998</v>
      </c>
      <c r="N5" cm="1">
        <f t="array" ref="N5">IFERROR(INDEX(Raw_ESG!$G$2:$G$76, MATCH(1, (Raw_ESG!$A$2:$A$76="Reliance Industries")*(Raw_ESG!$B$2:$B$76="2023"),0)+1),"")</f>
        <v>76.3</v>
      </c>
    </row>
    <row r="6" spans="1:14" x14ac:dyDescent="0.35">
      <c r="A6" t="s">
        <v>2</v>
      </c>
      <c r="B6" t="s">
        <v>37</v>
      </c>
      <c r="C6" cm="1">
        <f t="array" ref="C6">IF(OR(IFERROR(INDEX(Raw_Financials!$E$2:$E$76, MATCH(1, (Raw_Financials!$A$2:$A$76="Reliance Industries")*(Raw_Financials!$B$2:$B$76="2024"),0)+1),"")="",IFERROR(INDEX(Raw_Financials!$D$2:$D$76, MATCH(1, (Raw_Financials!$A$2:$A$76="Reliance Industries")*(Raw_Financials!$B$2:$B$76="2024"),0)+1),"")=""),"",(IFERROR(INDEX(Raw_Financials!$D$2:$D$76, MATCH(1, (Raw_Financials!$A$2:$A$76="Reliance Industries")*(Raw_Financials!$B$2:$B$76="2024"),0)+1),""))/(IFERROR(INDEX(Raw_Financials!$E$2:$E$76, MATCH(1, (Raw_Financials!$A$2:$A$76="Reliance Industries")*(Raw_Financials!$B$2:$B$76="2024"),0)+1),"")))</f>
        <v>0.11811113420906852</v>
      </c>
      <c r="D6" cm="1">
        <f t="array" ref="D6">IF(OR(IFERROR(INDEX(Raw_Financials!$E$2:$E$76, MATCH(1, (Raw_Financials!$A$2:$A$76="Reliance Industries")*(Raw_Financials!$B$2:$B$76="2024"),0)+1),"")="",IFERROR(INDEX(Raw_Financials!$C$2:$C$76, MATCH(1, (Raw_Financials!$A$2:$A$76="Reliance Industries")*(Raw_Financials!$B$2:$B$76="2024"),0)+1),"")=""),"",(IFERROR(INDEX(Raw_Financials!$C$2:$C$76, MATCH(1, (Raw_Financials!$A$2:$A$76="Reliance Industries")*(Raw_Financials!$B$2:$B$76="2024"),0)+1),""))/(IFERROR(INDEX(Raw_Financials!$E$2:$E$76, MATCH(1, (Raw_Financials!$A$2:$A$76="Reliance Industries")*(Raw_Financials!$B$2:$B$76="2024"),0)+1),"")))</f>
        <v>0.71365364135427323</v>
      </c>
      <c r="E6" cm="1">
        <f t="array" ref="E6">IF(OR(IFERROR(INDEX(Raw_Financials!$G$2:$G$76, MATCH(1, (Raw_Financials!$A$2:$A$76="Reliance Industries")*(Raw_Financials!$B$2:$B$76="2024"),0)+1),"")="",IFERROR(INDEX(Raw_Financials!$H$2:$H$76, MATCH(1, (Raw_Financials!$A$2:$A$76="Reliance Industries")*(Raw_Financials!$B$2:$B$76="2024"),0)+1),"")=""),"",(IFERROR(INDEX(Raw_Financials!$G$2:$G$76, MATCH(1, (Raw_Financials!$A$2:$A$76="Reliance Industries")*(Raw_Financials!$B$2:$B$76="2024"),0)+1),""))-(IFERROR(INDEX(Raw_Financials!$H$2:$H$76, MATCH(1, (Raw_Financials!$A$2:$A$76="Reliance Industries")*(Raw_Financials!$B$2:$B$76="2024"),0)+1),"")))</f>
        <v>-16258.34</v>
      </c>
      <c r="F6" cm="1">
        <f t="array" ref="F6">IF(OR(IFERROR(INDEX(Raw_Financials!$C$2:$C$76, MATCH(1, (Raw_Financials!$A$2:$A$76="Reliance Industries")*(Raw_Financials!$B$2:$B$76="2024"),0)+1),"")="",IF(OR(IFERROR(INDEX(Raw_Financials!$G$2:$G$76, MATCH(1, (Raw_Financials!$A$2:$A$76="Reliance Industries")*(Raw_Financials!$B$2:$B$76="2024"),0)+1),"")="",IFERROR(INDEX(Raw_Financials!$H$2:$H$76, MATCH(1, (Raw_Financials!$A$2:$A$76="Reliance Industries")*(Raw_Financials!$B$2:$B$76="2024"),0)+1),"")=""),"",(IFERROR(INDEX(Raw_Financials!$G$2:$G$76, MATCH(1, (Raw_Financials!$A$2:$A$76="Reliance Industries")*(Raw_Financials!$B$2:$B$76="2024"),0)+1),""))-(IFERROR(INDEX(Raw_Financials!$H$2:$H$76, MATCH(1, (Raw_Financials!$A$2:$A$76="Reliance Industries")*(Raw_Financials!$B$2:$B$76="2024"),0)+1),"")))=""),"",(IFERROR(INDEX(Raw_Financials!$C$2:$C$76, MATCH(1, (Raw_Financials!$A$2:$A$76="Reliance Industries")*(Raw_Financials!$B$2:$B$76="2024"),0)+1),""))/(IF(OR(IFERROR(INDEX(Raw_Financials!$G$2:$G$76, MATCH(1, (Raw_Financials!$A$2:$A$76="Reliance Industries")*(Raw_Financials!$B$2:$B$76="2024"),0)+1),"")="",IFERROR(INDEX(Raw_Financials!$H$2:$H$76, MATCH(1, (Raw_Financials!$A$2:$A$76="Reliance Industries")*(Raw_Financials!$B$2:$B$76="2024"),0)+1),"")=""),"",(IFERROR(INDEX(Raw_Financials!$G$2:$G$76, MATCH(1, (Raw_Financials!$A$2:$A$76="Reliance Industries")*(Raw_Financials!$B$2:$B$76="2024"),0)+1),""))-(IFERROR(INDEX(Raw_Financials!$H$2:$H$76, MATCH(1, (Raw_Financials!$A$2:$A$76="Reliance Industries")*(Raw_Financials!$B$2:$B$76="2024"),0)+1),"")))))</f>
        <v>-3.7796207976952139</v>
      </c>
      <c r="G6" cm="1">
        <f t="array" ref="G6">IF(OR(IFERROR(INDEX(Raw_Financials!$O$2:$O$76, MATCH(1, (Raw_Financials!$A$2:$A$76="Reliance Industries")*(Raw_Financials!$B$2:$B$76="2024"),0)+1),"")="",IFERROR(INDEX(Raw_Financials!$M$2:$M$76, MATCH(1, (Raw_Financials!$A$2:$A$76="Reliance Industries")*(Raw_Financials!$B$2:$B$76="2024"),0)+1),"")=""),"",(IFERROR(INDEX(Raw_Financials!$O$2:$O$76, MATCH(1, (Raw_Financials!$A$2:$A$76="Reliance Industries")*(Raw_Financials!$B$2:$B$76="2024"),0)+1),""))/(IFERROR(INDEX(Raw_Financials!$M$2:$M$76, MATCH(1, (Raw_Financials!$A$2:$A$76="Reliance Industries")*(Raw_Financials!$B$2:$B$76="2024"),0)+1),"")))</f>
        <v>3.4463770785528314</v>
      </c>
      <c r="H6" cm="1">
        <f t="array" ref="H6">IF(OR(IFERROR(INDEX(Raw_Financials!$M$2:$M$76, MATCH(1, (Raw_Financials!$A$2:$A$76="Reliance Industries")*(Raw_Financials!$B$2:$B$76="2024"),0)+1),"")="",IFERROR(INDEX(Raw_Financials!$L$2:$L$76, MATCH(1, (Raw_Financials!$A$2:$A$76="Reliance Industries")*(Raw_Financials!$B$2:$B$76="2024"),0)+1),"")=""),"",(IFERROR(INDEX(Raw_Financials!$M$2:$M$76, MATCH(1, (Raw_Financials!$A$2:$A$76="Reliance Industries")*(Raw_Financials!$B$2:$B$76="2024"),0)+1),""))/(IFERROR(INDEX(Raw_Financials!$L$2:$L$76, MATCH(1, (Raw_Financials!$A$2:$A$76="Reliance Industries")*(Raw_Financials!$B$2:$B$76="2024"),0)+1),"")))</f>
        <v>4.0700459442996264</v>
      </c>
      <c r="I6" cm="1">
        <f t="array" ref="I6">IF(OR(IFERROR(INDEX(Raw_Financials!$N$2:$N$76, MATCH(1, (Raw_Financials!$A$2:$A$76="Reliance Industries")*(Raw_Financials!$B$2:$B$76="2024"),0)+1),"")="",IFERROR(INDEX(Raw_Financials!$J$2:$J$76, MATCH(1, (Raw_Financials!$A$2:$A$76="Reliance Industries")*(Raw_Financials!$B$2:$B$76="2024"),0)+1),"")=""),"",(IFERROR(INDEX(Raw_Financials!$N$2:$N$76, MATCH(1, (Raw_Financials!$A$2:$A$76="Reliance Industries")*(Raw_Financials!$B$2:$B$76="2024"),0)+1),""))-(IFERROR(INDEX(Raw_Financials!$J$2:$J$76, MATCH(1, (Raw_Financials!$A$2:$A$76="Reliance Industries")*(Raw_Financials!$B$2:$B$76="2024"),0)+1),"")))</f>
        <v>22431.170000000002</v>
      </c>
      <c r="J6" cm="1">
        <f t="array" ref="J6">IF(OR(IFERROR(INDEX(Raw_Financials!$M$2:$M$76, MATCH(1, (Raw_Financials!$A$2:$A$76="Reliance Industries")*(Raw_Financials!$B$2:$B$76="2024"),0)+1),"")="",IFERROR(INDEX(Raw_Financials!$C$2:$C$76, MATCH(1, (Raw_Financials!$A$2:$A$76="Reliance Industries")*(Raw_Financials!$B$2:$B$76="2024"),0)+1),"")=""),"",(IFERROR(INDEX(Raw_Financials!$M$2:$M$76, MATCH(1, (Raw_Financials!$A$2:$A$76="Reliance Industries")*(Raw_Financials!$B$2:$B$76="2024"),0)+1),""))/(IFERROR(INDEX(Raw_Financials!$C$2:$C$76, MATCH(1, (Raw_Financials!$A$2:$A$76="Reliance Industries")*(Raw_Financials!$B$2:$B$76="2024"),0)+1),"")))</f>
        <v>0.2685691345014089</v>
      </c>
      <c r="K6" cm="1">
        <f t="array" ref="K6">IF(OR(IFERROR(INDEX(Raw_ESG!$C$2:$C$76, MATCH(1, (Raw_ESG!$A$2:$A$76="Reliance Industries")*(Raw_ESG!$B$2:$B$76="2024"),0)+1),"")="",IFERROR(INDEX(Raw_Financials!$J$2:$J$76, MATCH(1, (Raw_Financials!$A$2:$A$76="Reliance Industries")*(Raw_Financials!$B$2:$B$76="2024"),0)+1),"")=""),"",(IFERROR(INDEX(Raw_ESG!$C$2:$C$76, MATCH(1, (Raw_ESG!$A$2:$A$76="Reliance Industries")*(Raw_ESG!$B$2:$B$76="2024"),0)+1),""))/(IFERROR(INDEX(Raw_Financials!$J$2:$J$76, MATCH(1, (Raw_Financials!$A$2:$A$76="Reliance Industries")*(Raw_Financials!$B$2:$B$76="2024"),0)+1),"")))</f>
        <v>0.3947500174509988</v>
      </c>
      <c r="L6" cm="1">
        <f t="array" ref="L6">IF(OR(IFERROR(INDEX(Raw_ESG!$D$2:$D$76, MATCH(1, (Raw_ESG!$A$2:$A$76="Reliance Industries")*(Raw_ESG!$B$2:$B$76="2024"),0)+1),"")="",IFERROR(INDEX(Raw_Financials!$E$2:$E$76, MATCH(1, (Raw_Financials!$A$2:$A$76="Reliance Industries")*(Raw_Financials!$B$2:$B$76="2024"),0)+1),"")=""),"",(IFERROR(INDEX(Raw_ESG!$D$2:$D$76, MATCH(1, (Raw_ESG!$A$2:$A$76="Reliance Industries")*(Raw_ESG!$B$2:$B$76="2024"),0)+1),""))/(IFERROR(INDEX(Raw_Financials!$E$2:$E$76, MATCH(1, (Raw_Financials!$A$2:$A$76="Reliance Industries")*(Raw_Financials!$B$2:$B$76="2024"),0)+1),"")))</f>
        <v>0.31660799914524657</v>
      </c>
      <c r="M6" cm="1">
        <f t="array" ref="M6">IF(OR(IFERROR(INDEX(Raw_ESG!$E$2:$E$76, MATCH(1, (Raw_ESG!$A$2:$A$76="Reliance Industries")*(Raw_ESG!$B$2:$B$76="2024"),0)+1),"")="",IFERROR(INDEX(Raw_ESG!$F$2:$F$76, MATCH(1, (Raw_ESG!$A$2:$A$76="Reliance Industries")*(Raw_ESG!$B$2:$B$76="2024"),0)+1),"")=""),"",(IFERROR(INDEX(Raw_ESG!$E$2:$E$76, MATCH(1, (Raw_ESG!$A$2:$A$76="Reliance Industries")*(Raw_ESG!$B$2:$B$76="2024"),0)+1),""))+(IFERROR(INDEX(Raw_ESG!$F$2:$F$76, MATCH(1, (Raw_ESG!$A$2:$A$76="Reliance Industries")*(Raw_ESG!$B$2:$B$76="2024"),0)+1),"")))</f>
        <v>138946.1</v>
      </c>
      <c r="N6" cm="1">
        <f t="array" ref="N6">IFERROR(INDEX(Raw_ESG!$G$2:$G$76, MATCH(1, (Raw_ESG!$A$2:$A$76="Reliance Industries")*(Raw_ESG!$B$2:$B$76="2024"),0)+1),"")</f>
        <v>88.79</v>
      </c>
    </row>
    <row r="7" spans="1:14" x14ac:dyDescent="0.35">
      <c r="A7" t="s">
        <v>3</v>
      </c>
      <c r="B7" t="s">
        <v>33</v>
      </c>
      <c r="C7" cm="1">
        <f t="array" ref="C7">IF(OR(IFERROR(INDEX(Raw_Financials!$E$2:$E$76, MATCH(1, (Raw_Financials!$A$2:$A$76="Deepak Nitrite")*(Raw_Financials!$B$2:$B$76="2020"),0)+1),"")="",IFERROR(INDEX(Raw_Financials!$D$2:$D$76, MATCH(1, (Raw_Financials!$A$2:$A$76="Deepak Nitrite")*(Raw_Financials!$B$2:$B$76="2020"),0)+1),"")=""),"",(IFERROR(INDEX(Raw_Financials!$D$2:$D$76, MATCH(1, (Raw_Financials!$A$2:$A$76="Deepak Nitrite")*(Raw_Financials!$B$2:$B$76="2020"),0)+1),""))/(IFERROR(INDEX(Raw_Financials!$E$2:$E$76, MATCH(1, (Raw_Financials!$A$2:$A$76="Deepak Nitrite")*(Raw_Financials!$B$2:$B$76="2020"),0)+1),"")))</f>
        <v>5.1322308386055324E-2</v>
      </c>
      <c r="D7" cm="1">
        <f t="array" ref="D7">IF(OR(IFERROR(INDEX(Raw_Financials!$E$2:$E$76, MATCH(1, (Raw_Financials!$A$2:$A$76="Deepak Nitrite")*(Raw_Financials!$B$2:$B$76="2020"),0)+1),"")="",IFERROR(INDEX(Raw_Financials!$C$2:$C$76, MATCH(1, (Raw_Financials!$A$2:$A$76="Deepak Nitrite")*(Raw_Financials!$B$2:$B$76="2020"),0)+1),"")=""),"",(IFERROR(INDEX(Raw_Financials!$C$2:$C$76, MATCH(1, (Raw_Financials!$A$2:$A$76="Deepak Nitrite")*(Raw_Financials!$B$2:$B$76="2020"),0)+1),""))/(IFERROR(INDEX(Raw_Financials!$E$2:$E$76, MATCH(1, (Raw_Financials!$A$2:$A$76="Deepak Nitrite")*(Raw_Financials!$B$2:$B$76="2020"),0)+1),"")))</f>
        <v>0.16381174354010961</v>
      </c>
      <c r="E7" cm="1">
        <f t="array" ref="E7">IF(OR(IFERROR(INDEX(Raw_Financials!$G$2:$G$76, MATCH(1, (Raw_Financials!$A$2:$A$76="Deepak Nitrite")*(Raw_Financials!$B$2:$B$76="2020"),0)+1),"")="",IFERROR(INDEX(Raw_Financials!$H$2:$H$76, MATCH(1, (Raw_Financials!$A$2:$A$76="Deepak Nitrite")*(Raw_Financials!$B$2:$B$76="2020"),0)+1),"")=""),"",(IFERROR(INDEX(Raw_Financials!$G$2:$G$76, MATCH(1, (Raw_Financials!$A$2:$A$76="Deepak Nitrite")*(Raw_Financials!$B$2:$B$76="2020"),0)+1),""))-(IFERROR(INDEX(Raw_Financials!$H$2:$H$76, MATCH(1, (Raw_Financials!$A$2:$A$76="Deepak Nitrite")*(Raw_Financials!$B$2:$B$76="2020"),0)+1),"")))</f>
        <v>21024.820000000003</v>
      </c>
      <c r="F7" cm="1">
        <f t="array" ref="F7">IF(OR(IFERROR(INDEX(Raw_Financials!$C$2:$C$76, MATCH(1, (Raw_Financials!$A$2:$A$76="Deepak Nitrite")*(Raw_Financials!$B$2:$B$76="2020"),0)+1),"")="",IF(OR(IFERROR(INDEX(Raw_Financials!$G$2:$G$76, MATCH(1, (Raw_Financials!$A$2:$A$76="Deepak Nitrite")*(Raw_Financials!$B$2:$B$76="2020"),0)+1),"")="",IFERROR(INDEX(Raw_Financials!$H$2:$H$76, MATCH(1, (Raw_Financials!$A$2:$A$76="Deepak Nitrite")*(Raw_Financials!$B$2:$B$76="2020"),0)+1),"")=""),"",(IFERROR(INDEX(Raw_Financials!$G$2:$G$76, MATCH(1, (Raw_Financials!$A$2:$A$76="Deepak Nitrite")*(Raw_Financials!$B$2:$B$76="2020"),0)+1),""))-(IFERROR(INDEX(Raw_Financials!$H$2:$H$76, MATCH(1, (Raw_Financials!$A$2:$A$76="Deepak Nitrite")*(Raw_Financials!$B$2:$B$76="2020"),0)+1),"")))=""),"",(IFERROR(INDEX(Raw_Financials!$C$2:$C$76, MATCH(1, (Raw_Financials!$A$2:$A$76="Deepak Nitrite")*(Raw_Financials!$B$2:$B$76="2020"),0)+1),""))/(IF(OR(IFERROR(INDEX(Raw_Financials!$G$2:$G$76, MATCH(1, (Raw_Financials!$A$2:$A$76="Deepak Nitrite")*(Raw_Financials!$B$2:$B$76="2020"),0)+1),"")="",IFERROR(INDEX(Raw_Financials!$H$2:$H$76, MATCH(1, (Raw_Financials!$A$2:$A$76="Deepak Nitrite")*(Raw_Financials!$B$2:$B$76="2020"),0)+1),"")=""),"",(IFERROR(INDEX(Raw_Financials!$G$2:$G$76, MATCH(1, (Raw_Financials!$A$2:$A$76="Deepak Nitrite")*(Raw_Financials!$B$2:$B$76="2020"),0)+1),""))-(IFERROR(INDEX(Raw_Financials!$H$2:$H$76, MATCH(1, (Raw_Financials!$A$2:$A$76="Deepak Nitrite")*(Raw_Financials!$B$2:$B$76="2020"),0)+1),"")))))</f>
        <v>1.4734827694125321</v>
      </c>
      <c r="G7" cm="1">
        <f t="array" ref="G7">IF(OR(IFERROR(INDEX(Raw_Financials!$O$2:$O$76, MATCH(1, (Raw_Financials!$A$2:$A$76="Deepak Nitrite")*(Raw_Financials!$B$2:$B$76="2020"),0)+1),"")="",IFERROR(INDEX(Raw_Financials!$M$2:$M$76, MATCH(1, (Raw_Financials!$A$2:$A$76="Deepak Nitrite")*(Raw_Financials!$B$2:$B$76="2020"),0)+1),"")=""),"",(IFERROR(INDEX(Raw_Financials!$O$2:$O$76, MATCH(1, (Raw_Financials!$A$2:$A$76="Deepak Nitrite")*(Raw_Financials!$B$2:$B$76="2020"),0)+1),""))/(IFERROR(INDEX(Raw_Financials!$M$2:$M$76, MATCH(1, (Raw_Financials!$A$2:$A$76="Deepak Nitrite")*(Raw_Financials!$B$2:$B$76="2020"),0)+1),"")))</f>
        <v>3.8309727169574868</v>
      </c>
      <c r="H7" cm="1">
        <f t="array" ref="H7">IF(OR(IFERROR(INDEX(Raw_Financials!$M$2:$M$76, MATCH(1, (Raw_Financials!$A$2:$A$76="Deepak Nitrite")*(Raw_Financials!$B$2:$B$76="2020"),0)+1),"")="",IFERROR(INDEX(Raw_Financials!$L$2:$L$76, MATCH(1, (Raw_Financials!$A$2:$A$76="Deepak Nitrite")*(Raw_Financials!$B$2:$B$76="2020"),0)+1),"")=""),"",(IFERROR(INDEX(Raw_Financials!$M$2:$M$76, MATCH(1, (Raw_Financials!$A$2:$A$76="Deepak Nitrite")*(Raw_Financials!$B$2:$B$76="2020"),0)+1),""))/(IFERROR(INDEX(Raw_Financials!$L$2:$L$76, MATCH(1, (Raw_Financials!$A$2:$A$76="Deepak Nitrite")*(Raw_Financials!$B$2:$B$76="2020"),0)+1),"")))</f>
        <v>3.496864574628388</v>
      </c>
      <c r="I7" cm="1">
        <f t="array" ref="I7">IF(OR(IFERROR(INDEX(Raw_Financials!$N$2:$N$76, MATCH(1, (Raw_Financials!$A$2:$A$76="Deepak Nitrite")*(Raw_Financials!$B$2:$B$76="2020"),0)+1),"")="",IFERROR(INDEX(Raw_Financials!$J$2:$J$76, MATCH(1, (Raw_Financials!$A$2:$A$76="Deepak Nitrite")*(Raw_Financials!$B$2:$B$76="2020"),0)+1),"")=""),"",(IFERROR(INDEX(Raw_Financials!$N$2:$N$76, MATCH(1, (Raw_Financials!$A$2:$A$76="Deepak Nitrite")*(Raw_Financials!$B$2:$B$76="2020"),0)+1),""))-(IFERROR(INDEX(Raw_Financials!$J$2:$J$76, MATCH(1, (Raw_Financials!$A$2:$A$76="Deepak Nitrite")*(Raw_Financials!$B$2:$B$76="2020"),0)+1),"")))</f>
        <v>19134.849999999999</v>
      </c>
      <c r="J7" cm="1">
        <f t="array" ref="J7">IF(OR(IFERROR(INDEX(Raw_Financials!$M$2:$M$76, MATCH(1, (Raw_Financials!$A$2:$A$76="Deepak Nitrite")*(Raw_Financials!$B$2:$B$76="2020"),0)+1),"")="",IFERROR(INDEX(Raw_Financials!$C$2:$C$76, MATCH(1, (Raw_Financials!$A$2:$A$76="Deepak Nitrite")*(Raw_Financials!$B$2:$B$76="2020"),0)+1),"")=""),"",(IFERROR(INDEX(Raw_Financials!$M$2:$M$76, MATCH(1, (Raw_Financials!$A$2:$A$76="Deepak Nitrite")*(Raw_Financials!$B$2:$B$76="2020"),0)+1),""))/(IFERROR(INDEX(Raw_Financials!$C$2:$C$76, MATCH(1, (Raw_Financials!$A$2:$A$76="Deepak Nitrite")*(Raw_Financials!$B$2:$B$76="2020"),0)+1),"")))</f>
        <v>0.3430819720391185</v>
      </c>
      <c r="K7" cm="1">
        <f t="array" ref="K7">IF(OR(IFERROR(INDEX(Raw_ESG!$C$2:$C$76, MATCH(1, (Raw_ESG!$A$2:$A$76="Deepak Nitrite")*(Raw_ESG!$B$2:$B$76="2020"),0)+1),"")="",IFERROR(INDEX(Raw_Financials!$J$2:$J$76, MATCH(1, (Raw_Financials!$A$2:$A$76="Deepak Nitrite")*(Raw_Financials!$B$2:$B$76="2020"),0)+1),"")=""),"",(IFERROR(INDEX(Raw_ESG!$C$2:$C$76, MATCH(1, (Raw_ESG!$A$2:$A$76="Deepak Nitrite")*(Raw_ESG!$B$2:$B$76="2020"),0)+1),""))/(IFERROR(INDEX(Raw_Financials!$J$2:$J$76, MATCH(1, (Raw_Financials!$A$2:$A$76="Deepak Nitrite")*(Raw_Financials!$B$2:$B$76="2020"),0)+1),"")))</f>
        <v>0.30084060974124055</v>
      </c>
      <c r="L7" cm="1">
        <f t="array" ref="L7">IF(OR(IFERROR(INDEX(Raw_ESG!$D$2:$D$76, MATCH(1, (Raw_ESG!$A$2:$A$76="Deepak Nitrite")*(Raw_ESG!$B$2:$B$76="2020"),0)+1),"")="",IFERROR(INDEX(Raw_Financials!$E$2:$E$76, MATCH(1, (Raw_Financials!$A$2:$A$76="Deepak Nitrite")*(Raw_Financials!$B$2:$B$76="2020"),0)+1),"")=""),"",(IFERROR(INDEX(Raw_ESG!$D$2:$D$76, MATCH(1, (Raw_ESG!$A$2:$A$76="Deepak Nitrite")*(Raw_ESG!$B$2:$B$76="2020"),0)+1),""))/(IFERROR(INDEX(Raw_Financials!$E$2:$E$76, MATCH(1, (Raw_Financials!$A$2:$A$76="Deepak Nitrite")*(Raw_Financials!$B$2:$B$76="2020"),0)+1),"")))</f>
        <v>0.11879349670808283</v>
      </c>
      <c r="M7" cm="1">
        <f t="array" ref="M7">IF(OR(IFERROR(INDEX(Raw_ESG!$E$2:$E$76, MATCH(1, (Raw_ESG!$A$2:$A$76="Deepak Nitrite")*(Raw_ESG!$B$2:$B$76="2020"),0)+1),"")="",IFERROR(INDEX(Raw_ESG!$F$2:$F$76, MATCH(1, (Raw_ESG!$A$2:$A$76="Deepak Nitrite")*(Raw_ESG!$B$2:$B$76="2020"),0)+1),"")=""),"",(IFERROR(INDEX(Raw_ESG!$E$2:$E$76, MATCH(1, (Raw_ESG!$A$2:$A$76="Deepak Nitrite")*(Raw_ESG!$B$2:$B$76="2020"),0)+1),""))+(IFERROR(INDEX(Raw_ESG!$F$2:$F$76, MATCH(1, (Raw_ESG!$A$2:$A$76="Deepak Nitrite")*(Raw_ESG!$B$2:$B$76="2020"),0)+1),"")))</f>
        <v>167345.4</v>
      </c>
      <c r="N7" cm="1">
        <f t="array" ref="N7">IFERROR(INDEX(Raw_ESG!$G$2:$G$76, MATCH(1, (Raw_ESG!$A$2:$A$76="Deepak Nitrite")*(Raw_ESG!$B$2:$B$76="2020"),0)+1),"")</f>
        <v>65.819999999999993</v>
      </c>
    </row>
    <row r="8" spans="1:14" x14ac:dyDescent="0.35">
      <c r="A8" t="s">
        <v>3</v>
      </c>
      <c r="B8" t="s">
        <v>34</v>
      </c>
      <c r="C8" cm="1">
        <f t="array" ref="C8">IF(OR(IFERROR(INDEX(Raw_Financials!$E$2:$E$76, MATCH(1, (Raw_Financials!$A$2:$A$76="Deepak Nitrite")*(Raw_Financials!$B$2:$B$76="2021"),0)+1),"")="",IFERROR(INDEX(Raw_Financials!$D$2:$D$76, MATCH(1, (Raw_Financials!$A$2:$A$76="Deepak Nitrite")*(Raw_Financials!$B$2:$B$76="2021"),0)+1),"")=""),"",(IFERROR(INDEX(Raw_Financials!$D$2:$D$76, MATCH(1, (Raw_Financials!$A$2:$A$76="Deepak Nitrite")*(Raw_Financials!$B$2:$B$76="2021"),0)+1),""))/(IFERROR(INDEX(Raw_Financials!$E$2:$E$76, MATCH(1, (Raw_Financials!$A$2:$A$76="Deepak Nitrite")*(Raw_Financials!$B$2:$B$76="2021"),0)+1),"")))</f>
        <v>3.8671251249185815E-2</v>
      </c>
      <c r="D8" cm="1">
        <f t="array" ref="D8">IF(OR(IFERROR(INDEX(Raw_Financials!$E$2:$E$76, MATCH(1, (Raw_Financials!$A$2:$A$76="Deepak Nitrite")*(Raw_Financials!$B$2:$B$76="2021"),0)+1),"")="",IFERROR(INDEX(Raw_Financials!$C$2:$C$76, MATCH(1, (Raw_Financials!$A$2:$A$76="Deepak Nitrite")*(Raw_Financials!$B$2:$B$76="2021"),0)+1),"")=""),"",(IFERROR(INDEX(Raw_Financials!$C$2:$C$76, MATCH(1, (Raw_Financials!$A$2:$A$76="Deepak Nitrite")*(Raw_Financials!$B$2:$B$76="2021"),0)+1),""))/(IFERROR(INDEX(Raw_Financials!$E$2:$E$76, MATCH(1, (Raw_Financials!$A$2:$A$76="Deepak Nitrite")*(Raw_Financials!$B$2:$B$76="2021"),0)+1),"")))</f>
        <v>0.19892783339183795</v>
      </c>
      <c r="E8" cm="1">
        <f t="array" ref="E8">IF(OR(IFERROR(INDEX(Raw_Financials!$G$2:$G$76, MATCH(1, (Raw_Financials!$A$2:$A$76="Deepak Nitrite")*(Raw_Financials!$B$2:$B$76="2021"),0)+1),"")="",IFERROR(INDEX(Raw_Financials!$H$2:$H$76, MATCH(1, (Raw_Financials!$A$2:$A$76="Deepak Nitrite")*(Raw_Financials!$B$2:$B$76="2021"),0)+1),"")=""),"",(IFERROR(INDEX(Raw_Financials!$G$2:$G$76, MATCH(1, (Raw_Financials!$A$2:$A$76="Deepak Nitrite")*(Raw_Financials!$B$2:$B$76="2021"),0)+1),""))-(IFERROR(INDEX(Raw_Financials!$H$2:$H$76, MATCH(1, (Raw_Financials!$A$2:$A$76="Deepak Nitrite")*(Raw_Financials!$B$2:$B$76="2021"),0)+1),"")))</f>
        <v>-613.34000000000015</v>
      </c>
      <c r="F8" cm="1">
        <f t="array" ref="F8">IF(OR(IFERROR(INDEX(Raw_Financials!$C$2:$C$76, MATCH(1, (Raw_Financials!$A$2:$A$76="Deepak Nitrite")*(Raw_Financials!$B$2:$B$76="2021"),0)+1),"")="",IF(OR(IFERROR(INDEX(Raw_Financials!$G$2:$G$76, MATCH(1, (Raw_Financials!$A$2:$A$76="Deepak Nitrite")*(Raw_Financials!$B$2:$B$76="2021"),0)+1),"")="",IFERROR(INDEX(Raw_Financials!$H$2:$H$76, MATCH(1, (Raw_Financials!$A$2:$A$76="Deepak Nitrite")*(Raw_Financials!$B$2:$B$76="2021"),0)+1),"")=""),"",(IFERROR(INDEX(Raw_Financials!$G$2:$G$76, MATCH(1, (Raw_Financials!$A$2:$A$76="Deepak Nitrite")*(Raw_Financials!$B$2:$B$76="2021"),0)+1),""))-(IFERROR(INDEX(Raw_Financials!$H$2:$H$76, MATCH(1, (Raw_Financials!$A$2:$A$76="Deepak Nitrite")*(Raw_Financials!$B$2:$B$76="2021"),0)+1),"")))=""),"",(IFERROR(INDEX(Raw_Financials!$C$2:$C$76, MATCH(1, (Raw_Financials!$A$2:$A$76="Deepak Nitrite")*(Raw_Financials!$B$2:$B$76="2021"),0)+1),""))/(IF(OR(IFERROR(INDEX(Raw_Financials!$G$2:$G$76, MATCH(1, (Raw_Financials!$A$2:$A$76="Deepak Nitrite")*(Raw_Financials!$B$2:$B$76="2021"),0)+1),"")="",IFERROR(INDEX(Raw_Financials!$H$2:$H$76, MATCH(1, (Raw_Financials!$A$2:$A$76="Deepak Nitrite")*(Raw_Financials!$B$2:$B$76="2021"),0)+1),"")=""),"",(IFERROR(INDEX(Raw_Financials!$G$2:$G$76, MATCH(1, (Raw_Financials!$A$2:$A$76="Deepak Nitrite")*(Raw_Financials!$B$2:$B$76="2021"),0)+1),""))-(IFERROR(INDEX(Raw_Financials!$H$2:$H$76, MATCH(1, (Raw_Financials!$A$2:$A$76="Deepak Nitrite")*(Raw_Financials!$B$2:$B$76="2021"),0)+1),"")))))</f>
        <v>-61.082939315876985</v>
      </c>
      <c r="G8" cm="1">
        <f t="array" ref="G8">IF(OR(IFERROR(INDEX(Raw_Financials!$O$2:$O$76, MATCH(1, (Raw_Financials!$A$2:$A$76="Deepak Nitrite")*(Raw_Financials!$B$2:$B$76="2021"),0)+1),"")="",IFERROR(INDEX(Raw_Financials!$M$2:$M$76, MATCH(1, (Raw_Financials!$A$2:$A$76="Deepak Nitrite")*(Raw_Financials!$B$2:$B$76="2021"),0)+1),"")=""),"",(IFERROR(INDEX(Raw_Financials!$O$2:$O$76, MATCH(1, (Raw_Financials!$A$2:$A$76="Deepak Nitrite")*(Raw_Financials!$B$2:$B$76="2021"),0)+1),""))/(IFERROR(INDEX(Raw_Financials!$M$2:$M$76, MATCH(1, (Raw_Financials!$A$2:$A$76="Deepak Nitrite")*(Raw_Financials!$B$2:$B$76="2021"),0)+1),"")))</f>
        <v>1.251530758632859</v>
      </c>
      <c r="H8" cm="1">
        <f t="array" ref="H8">IF(OR(IFERROR(INDEX(Raw_Financials!$M$2:$M$76, MATCH(1, (Raw_Financials!$A$2:$A$76="Deepak Nitrite")*(Raw_Financials!$B$2:$B$76="2021"),0)+1),"")="",IFERROR(INDEX(Raw_Financials!$L$2:$L$76, MATCH(1, (Raw_Financials!$A$2:$A$76="Deepak Nitrite")*(Raw_Financials!$B$2:$B$76="2021"),0)+1),"")=""),"",(IFERROR(INDEX(Raw_Financials!$M$2:$M$76, MATCH(1, (Raw_Financials!$A$2:$A$76="Deepak Nitrite")*(Raw_Financials!$B$2:$B$76="2021"),0)+1),""))/(IFERROR(INDEX(Raw_Financials!$L$2:$L$76, MATCH(1, (Raw_Financials!$A$2:$A$76="Deepak Nitrite")*(Raw_Financials!$B$2:$B$76="2021"),0)+1),"")))</f>
        <v>4.8401470261266057</v>
      </c>
      <c r="I8" cm="1">
        <f t="array" ref="I8">IF(OR(IFERROR(INDEX(Raw_Financials!$N$2:$N$76, MATCH(1, (Raw_Financials!$A$2:$A$76="Deepak Nitrite")*(Raw_Financials!$B$2:$B$76="2021"),0)+1),"")="",IFERROR(INDEX(Raw_Financials!$J$2:$J$76, MATCH(1, (Raw_Financials!$A$2:$A$76="Deepak Nitrite")*(Raw_Financials!$B$2:$B$76="2021"),0)+1),"")=""),"",(IFERROR(INDEX(Raw_Financials!$N$2:$N$76, MATCH(1, (Raw_Financials!$A$2:$A$76="Deepak Nitrite")*(Raw_Financials!$B$2:$B$76="2021"),0)+1),""))-(IFERROR(INDEX(Raw_Financials!$J$2:$J$76, MATCH(1, (Raw_Financials!$A$2:$A$76="Deepak Nitrite")*(Raw_Financials!$B$2:$B$76="2021"),0)+1),"")))</f>
        <v>18294.82</v>
      </c>
      <c r="J8" cm="1">
        <f t="array" ref="J8">IF(OR(IFERROR(INDEX(Raw_Financials!$M$2:$M$76, MATCH(1, (Raw_Financials!$A$2:$A$76="Deepak Nitrite")*(Raw_Financials!$B$2:$B$76="2021"),0)+1),"")="",IFERROR(INDEX(Raw_Financials!$C$2:$C$76, MATCH(1, (Raw_Financials!$A$2:$A$76="Deepak Nitrite")*(Raw_Financials!$B$2:$B$76="2021"),0)+1),"")=""),"",(IFERROR(INDEX(Raw_Financials!$M$2:$M$76, MATCH(1, (Raw_Financials!$A$2:$A$76="Deepak Nitrite")*(Raw_Financials!$B$2:$B$76="2021"),0)+1),""))/(IFERROR(INDEX(Raw_Financials!$C$2:$C$76, MATCH(1, (Raw_Financials!$A$2:$A$76="Deepak Nitrite")*(Raw_Financials!$B$2:$B$76="2021"),0)+1),"")))</f>
        <v>0.73213654165891484</v>
      </c>
      <c r="K8" cm="1">
        <f t="array" ref="K8">IF(OR(IFERROR(INDEX(Raw_ESG!$C$2:$C$76, MATCH(1, (Raw_ESG!$A$2:$A$76="Deepak Nitrite")*(Raw_ESG!$B$2:$B$76="2021"),0)+1),"")="",IFERROR(INDEX(Raw_Financials!$J$2:$J$76, MATCH(1, (Raw_Financials!$A$2:$A$76="Deepak Nitrite")*(Raw_Financials!$B$2:$B$76="2021"),0)+1),"")=""),"",(IFERROR(INDEX(Raw_ESG!$C$2:$C$76, MATCH(1, (Raw_ESG!$A$2:$A$76="Deepak Nitrite")*(Raw_ESG!$B$2:$B$76="2021"),0)+1),""))/(IFERROR(INDEX(Raw_Financials!$J$2:$J$76, MATCH(1, (Raw_Financials!$A$2:$A$76="Deepak Nitrite")*(Raw_Financials!$B$2:$B$76="2021"),0)+1),"")))</f>
        <v>0.47778481889182195</v>
      </c>
      <c r="L8" cm="1">
        <f t="array" ref="L8">IF(OR(IFERROR(INDEX(Raw_ESG!$D$2:$D$76, MATCH(1, (Raw_ESG!$A$2:$A$76="Deepak Nitrite")*(Raw_ESG!$B$2:$B$76="2021"),0)+1),"")="",IFERROR(INDEX(Raw_Financials!$E$2:$E$76, MATCH(1, (Raw_Financials!$A$2:$A$76="Deepak Nitrite")*(Raw_Financials!$B$2:$B$76="2021"),0)+1),"")=""),"",(IFERROR(INDEX(Raw_ESG!$D$2:$D$76, MATCH(1, (Raw_ESG!$A$2:$A$76="Deepak Nitrite")*(Raw_ESG!$B$2:$B$76="2021"),0)+1),""))/(IFERROR(INDEX(Raw_Financials!$E$2:$E$76, MATCH(1, (Raw_Financials!$A$2:$A$76="Deepak Nitrite")*(Raw_Financials!$B$2:$B$76="2021"),0)+1),"")))</f>
        <v>8.823726653479716E-2</v>
      </c>
      <c r="M8" cm="1">
        <f t="array" ref="M8">IF(OR(IFERROR(INDEX(Raw_ESG!$E$2:$E$76, MATCH(1, (Raw_ESG!$A$2:$A$76="Deepak Nitrite")*(Raw_ESG!$B$2:$B$76="2021"),0)+1),"")="",IFERROR(INDEX(Raw_ESG!$F$2:$F$76, MATCH(1, (Raw_ESG!$A$2:$A$76="Deepak Nitrite")*(Raw_ESG!$B$2:$B$76="2021"),0)+1),"")=""),"",(IFERROR(INDEX(Raw_ESG!$E$2:$E$76, MATCH(1, (Raw_ESG!$A$2:$A$76="Deepak Nitrite")*(Raw_ESG!$B$2:$B$76="2021"),0)+1),""))+(IFERROR(INDEX(Raw_ESG!$F$2:$F$76, MATCH(1, (Raw_ESG!$A$2:$A$76="Deepak Nitrite")*(Raw_ESG!$B$2:$B$76="2021"),0)+1),"")))</f>
        <v>180007.15000000002</v>
      </c>
      <c r="N8" cm="1">
        <f t="array" ref="N8">IFERROR(INDEX(Raw_ESG!$G$2:$G$76, MATCH(1, (Raw_ESG!$A$2:$A$76="Deepak Nitrite")*(Raw_ESG!$B$2:$B$76="2021"),0)+1),"")</f>
        <v>56.15</v>
      </c>
    </row>
    <row r="9" spans="1:14" x14ac:dyDescent="0.35">
      <c r="A9" t="s">
        <v>3</v>
      </c>
      <c r="B9" t="s">
        <v>35</v>
      </c>
      <c r="C9" cm="1">
        <f t="array" ref="C9">IF(OR(IFERROR(INDEX(Raw_Financials!$E$2:$E$76, MATCH(1, (Raw_Financials!$A$2:$A$76="Deepak Nitrite")*(Raw_Financials!$B$2:$B$76="2022"),0)+1),"")="",IFERROR(INDEX(Raw_Financials!$D$2:$D$76, MATCH(1, (Raw_Financials!$A$2:$A$76="Deepak Nitrite")*(Raw_Financials!$B$2:$B$76="2022"),0)+1),"")=""),"",(IFERROR(INDEX(Raw_Financials!$D$2:$D$76, MATCH(1, (Raw_Financials!$A$2:$A$76="Deepak Nitrite")*(Raw_Financials!$B$2:$B$76="2022"),0)+1),""))/(IFERROR(INDEX(Raw_Financials!$E$2:$E$76, MATCH(1, (Raw_Financials!$A$2:$A$76="Deepak Nitrite")*(Raw_Financials!$B$2:$B$76="2022"),0)+1),"")))</f>
        <v>9.1024308617436989E-2</v>
      </c>
      <c r="D9" cm="1">
        <f t="array" ref="D9">IF(OR(IFERROR(INDEX(Raw_Financials!$E$2:$E$76, MATCH(1, (Raw_Financials!$A$2:$A$76="Deepak Nitrite")*(Raw_Financials!$B$2:$B$76="2022"),0)+1),"")="",IFERROR(INDEX(Raw_Financials!$C$2:$C$76, MATCH(1, (Raw_Financials!$A$2:$A$76="Deepak Nitrite")*(Raw_Financials!$B$2:$B$76="2022"),0)+1),"")=""),"",(IFERROR(INDEX(Raw_Financials!$C$2:$C$76, MATCH(1, (Raw_Financials!$A$2:$A$76="Deepak Nitrite")*(Raw_Financials!$B$2:$B$76="2022"),0)+1),""))/(IFERROR(INDEX(Raw_Financials!$E$2:$E$76, MATCH(1, (Raw_Financials!$A$2:$A$76="Deepak Nitrite")*(Raw_Financials!$B$2:$B$76="2022"),0)+1),"")))</f>
        <v>0.53277695970644623</v>
      </c>
      <c r="E9" cm="1">
        <f t="array" ref="E9">IF(OR(IFERROR(INDEX(Raw_Financials!$G$2:$G$76, MATCH(1, (Raw_Financials!$A$2:$A$76="Deepak Nitrite")*(Raw_Financials!$B$2:$B$76="2022"),0)+1),"")="",IFERROR(INDEX(Raw_Financials!$H$2:$H$76, MATCH(1, (Raw_Financials!$A$2:$A$76="Deepak Nitrite")*(Raw_Financials!$B$2:$B$76="2022"),0)+1),"")=""),"",(IFERROR(INDEX(Raw_Financials!$G$2:$G$76, MATCH(1, (Raw_Financials!$A$2:$A$76="Deepak Nitrite")*(Raw_Financials!$B$2:$B$76="2022"),0)+1),""))-(IFERROR(INDEX(Raw_Financials!$H$2:$H$76, MATCH(1, (Raw_Financials!$A$2:$A$76="Deepak Nitrite")*(Raw_Financials!$B$2:$B$76="2022"),0)+1),"")))</f>
        <v>1304.1800000000003</v>
      </c>
      <c r="F9" cm="1">
        <f t="array" ref="F9">IF(OR(IFERROR(INDEX(Raw_Financials!$C$2:$C$76, MATCH(1, (Raw_Financials!$A$2:$A$76="Deepak Nitrite")*(Raw_Financials!$B$2:$B$76="2022"),0)+1),"")="",IF(OR(IFERROR(INDEX(Raw_Financials!$G$2:$G$76, MATCH(1, (Raw_Financials!$A$2:$A$76="Deepak Nitrite")*(Raw_Financials!$B$2:$B$76="2022"),0)+1),"")="",IFERROR(INDEX(Raw_Financials!$H$2:$H$76, MATCH(1, (Raw_Financials!$A$2:$A$76="Deepak Nitrite")*(Raw_Financials!$B$2:$B$76="2022"),0)+1),"")=""),"",(IFERROR(INDEX(Raw_Financials!$G$2:$G$76, MATCH(1, (Raw_Financials!$A$2:$A$76="Deepak Nitrite")*(Raw_Financials!$B$2:$B$76="2022"),0)+1),""))-(IFERROR(INDEX(Raw_Financials!$H$2:$H$76, MATCH(1, (Raw_Financials!$A$2:$A$76="Deepak Nitrite")*(Raw_Financials!$B$2:$B$76="2022"),0)+1),"")))=""),"",(IFERROR(INDEX(Raw_Financials!$C$2:$C$76, MATCH(1, (Raw_Financials!$A$2:$A$76="Deepak Nitrite")*(Raw_Financials!$B$2:$B$76="2022"),0)+1),""))/(IF(OR(IFERROR(INDEX(Raw_Financials!$G$2:$G$76, MATCH(1, (Raw_Financials!$A$2:$A$76="Deepak Nitrite")*(Raw_Financials!$B$2:$B$76="2022"),0)+1),"")="",IFERROR(INDEX(Raw_Financials!$H$2:$H$76, MATCH(1, (Raw_Financials!$A$2:$A$76="Deepak Nitrite")*(Raw_Financials!$B$2:$B$76="2022"),0)+1),"")=""),"",(IFERROR(INDEX(Raw_Financials!$G$2:$G$76, MATCH(1, (Raw_Financials!$A$2:$A$76="Deepak Nitrite")*(Raw_Financials!$B$2:$B$76="2022"),0)+1),""))-(IFERROR(INDEX(Raw_Financials!$H$2:$H$76, MATCH(1, (Raw_Financials!$A$2:$A$76="Deepak Nitrite")*(Raw_Financials!$B$2:$B$76="2022"),0)+1),"")))))</f>
        <v>50.124990415433444</v>
      </c>
      <c r="G9" cm="1">
        <f t="array" ref="G9">IF(OR(IFERROR(INDEX(Raw_Financials!$O$2:$O$76, MATCH(1, (Raw_Financials!$A$2:$A$76="Deepak Nitrite")*(Raw_Financials!$B$2:$B$76="2022"),0)+1),"")="",IFERROR(INDEX(Raw_Financials!$M$2:$M$76, MATCH(1, (Raw_Financials!$A$2:$A$76="Deepak Nitrite")*(Raw_Financials!$B$2:$B$76="2022"),0)+1),"")=""),"",(IFERROR(INDEX(Raw_Financials!$O$2:$O$76, MATCH(1, (Raw_Financials!$A$2:$A$76="Deepak Nitrite")*(Raw_Financials!$B$2:$B$76="2022"),0)+1),""))/(IFERROR(INDEX(Raw_Financials!$M$2:$M$76, MATCH(1, (Raw_Financials!$A$2:$A$76="Deepak Nitrite")*(Raw_Financials!$B$2:$B$76="2022"),0)+1),"")))</f>
        <v>1.6891703936403639</v>
      </c>
      <c r="H9" cm="1">
        <f t="array" ref="H9">IF(OR(IFERROR(INDEX(Raw_Financials!$M$2:$M$76, MATCH(1, (Raw_Financials!$A$2:$A$76="Deepak Nitrite")*(Raw_Financials!$B$2:$B$76="2022"),0)+1),"")="",IFERROR(INDEX(Raw_Financials!$L$2:$L$76, MATCH(1, (Raw_Financials!$A$2:$A$76="Deepak Nitrite")*(Raw_Financials!$B$2:$B$76="2022"),0)+1),"")=""),"",(IFERROR(INDEX(Raw_Financials!$M$2:$M$76, MATCH(1, (Raw_Financials!$A$2:$A$76="Deepak Nitrite")*(Raw_Financials!$B$2:$B$76="2022"),0)+1),""))/(IFERROR(INDEX(Raw_Financials!$L$2:$L$76, MATCH(1, (Raw_Financials!$A$2:$A$76="Deepak Nitrite")*(Raw_Financials!$B$2:$B$76="2022"),0)+1),"")))</f>
        <v>3.6306220739491946</v>
      </c>
      <c r="I9" cm="1">
        <f t="array" ref="I9">IF(OR(IFERROR(INDEX(Raw_Financials!$N$2:$N$76, MATCH(1, (Raw_Financials!$A$2:$A$76="Deepak Nitrite")*(Raw_Financials!$B$2:$B$76="2022"),0)+1),"")="",IFERROR(INDEX(Raw_Financials!$J$2:$J$76, MATCH(1, (Raw_Financials!$A$2:$A$76="Deepak Nitrite")*(Raw_Financials!$B$2:$B$76="2022"),0)+1),"")=""),"",(IFERROR(INDEX(Raw_Financials!$N$2:$N$76, MATCH(1, (Raw_Financials!$A$2:$A$76="Deepak Nitrite")*(Raw_Financials!$B$2:$B$76="2022"),0)+1),""))-(IFERROR(INDEX(Raw_Financials!$J$2:$J$76, MATCH(1, (Raw_Financials!$A$2:$A$76="Deepak Nitrite")*(Raw_Financials!$B$2:$B$76="2022"),0)+1),"")))</f>
        <v>4445.3900000000012</v>
      </c>
      <c r="J9" cm="1">
        <f t="array" ref="J9">IF(OR(IFERROR(INDEX(Raw_Financials!$M$2:$M$76, MATCH(1, (Raw_Financials!$A$2:$A$76="Deepak Nitrite")*(Raw_Financials!$B$2:$B$76="2022"),0)+1),"")="",IFERROR(INDEX(Raw_Financials!$C$2:$C$76, MATCH(1, (Raw_Financials!$A$2:$A$76="Deepak Nitrite")*(Raw_Financials!$B$2:$B$76="2022"),0)+1),"")=""),"",(IFERROR(INDEX(Raw_Financials!$M$2:$M$76, MATCH(1, (Raw_Financials!$A$2:$A$76="Deepak Nitrite")*(Raw_Financials!$B$2:$B$76="2022"),0)+1),""))/(IFERROR(INDEX(Raw_Financials!$C$2:$C$76, MATCH(1, (Raw_Financials!$A$2:$A$76="Deepak Nitrite")*(Raw_Financials!$B$2:$B$76="2022"),0)+1),"")))</f>
        <v>0.28067394592884631</v>
      </c>
      <c r="K9" cm="1">
        <f t="array" ref="K9">IF(OR(IFERROR(INDEX(Raw_ESG!$C$2:$C$76, MATCH(1, (Raw_ESG!$A$2:$A$76="Deepak Nitrite")*(Raw_ESG!$B$2:$B$76="2022"),0)+1),"")="",IFERROR(INDEX(Raw_Financials!$J$2:$J$76, MATCH(1, (Raw_Financials!$A$2:$A$76="Deepak Nitrite")*(Raw_Financials!$B$2:$B$76="2022"),0)+1),"")=""),"",(IFERROR(INDEX(Raw_ESG!$C$2:$C$76, MATCH(1, (Raw_ESG!$A$2:$A$76="Deepak Nitrite")*(Raw_ESG!$B$2:$B$76="2022"),0)+1),""))/(IFERROR(INDEX(Raw_Financials!$J$2:$J$76, MATCH(1, (Raw_Financials!$A$2:$A$76="Deepak Nitrite")*(Raw_Financials!$B$2:$B$76="2022"),0)+1),"")))</f>
        <v>0.40460458385970482</v>
      </c>
      <c r="L9" cm="1">
        <f t="array" ref="L9">IF(OR(IFERROR(INDEX(Raw_ESG!$D$2:$D$76, MATCH(1, (Raw_ESG!$A$2:$A$76="Deepak Nitrite")*(Raw_ESG!$B$2:$B$76="2022"),0)+1),"")="",IFERROR(INDEX(Raw_Financials!$E$2:$E$76, MATCH(1, (Raw_Financials!$A$2:$A$76="Deepak Nitrite")*(Raw_Financials!$B$2:$B$76="2022"),0)+1),"")=""),"",(IFERROR(INDEX(Raw_ESG!$D$2:$D$76, MATCH(1, (Raw_ESG!$A$2:$A$76="Deepak Nitrite")*(Raw_ESG!$B$2:$B$76="2022"),0)+1),""))/(IFERROR(INDEX(Raw_Financials!$E$2:$E$76, MATCH(1, (Raw_Financials!$A$2:$A$76="Deepak Nitrite")*(Raw_Financials!$B$2:$B$76="2022"),0)+1),"")))</f>
        <v>9.1859186904831372E-2</v>
      </c>
      <c r="M9" cm="1">
        <f t="array" ref="M9">IF(OR(IFERROR(INDEX(Raw_ESG!$E$2:$E$76, MATCH(1, (Raw_ESG!$A$2:$A$76="Deepak Nitrite")*(Raw_ESG!$B$2:$B$76="2022"),0)+1),"")="",IFERROR(INDEX(Raw_ESG!$F$2:$F$76, MATCH(1, (Raw_ESG!$A$2:$A$76="Deepak Nitrite")*(Raw_ESG!$B$2:$B$76="2022"),0)+1),"")=""),"",(IFERROR(INDEX(Raw_ESG!$E$2:$E$76, MATCH(1, (Raw_ESG!$A$2:$A$76="Deepak Nitrite")*(Raw_ESG!$B$2:$B$76="2022"),0)+1),""))+(IFERROR(INDEX(Raw_ESG!$F$2:$F$76, MATCH(1, (Raw_ESG!$A$2:$A$76="Deepak Nitrite")*(Raw_ESG!$B$2:$B$76="2022"),0)+1),"")))</f>
        <v>123389.63</v>
      </c>
      <c r="N9" cm="1">
        <f t="array" ref="N9">IFERROR(INDEX(Raw_ESG!$G$2:$G$76, MATCH(1, (Raw_ESG!$A$2:$A$76="Deepak Nitrite")*(Raw_ESG!$B$2:$B$76="2022"),0)+1),"")</f>
        <v>79.760000000000005</v>
      </c>
    </row>
    <row r="10" spans="1:14" x14ac:dyDescent="0.35">
      <c r="A10" t="s">
        <v>3</v>
      </c>
      <c r="B10" t="s">
        <v>36</v>
      </c>
      <c r="C10" cm="1">
        <f t="array" ref="C10">IF(OR(IFERROR(INDEX(Raw_Financials!$E$2:$E$76, MATCH(1, (Raw_Financials!$A$2:$A$76="Deepak Nitrite")*(Raw_Financials!$B$2:$B$76="2023"),0)+1),"")="",IFERROR(INDEX(Raw_Financials!$D$2:$D$76, MATCH(1, (Raw_Financials!$A$2:$A$76="Deepak Nitrite")*(Raw_Financials!$B$2:$B$76="2023"),0)+1),"")=""),"",(IFERROR(INDEX(Raw_Financials!$D$2:$D$76, MATCH(1, (Raw_Financials!$A$2:$A$76="Deepak Nitrite")*(Raw_Financials!$B$2:$B$76="2023"),0)+1),""))/(IFERROR(INDEX(Raw_Financials!$E$2:$E$76, MATCH(1, (Raw_Financials!$A$2:$A$76="Deepak Nitrite")*(Raw_Financials!$B$2:$B$76="2023"),0)+1),"")))</f>
        <v>4.5165928117285377E-2</v>
      </c>
      <c r="D10" cm="1">
        <f t="array" ref="D10">IF(OR(IFERROR(INDEX(Raw_Financials!$E$2:$E$76, MATCH(1, (Raw_Financials!$A$2:$A$76="Deepak Nitrite")*(Raw_Financials!$B$2:$B$76="2023"),0)+1),"")="",IFERROR(INDEX(Raw_Financials!$C$2:$C$76, MATCH(1, (Raw_Financials!$A$2:$A$76="Deepak Nitrite")*(Raw_Financials!$B$2:$B$76="2023"),0)+1),"")=""),"",(IFERROR(INDEX(Raw_Financials!$C$2:$C$76, MATCH(1, (Raw_Financials!$A$2:$A$76="Deepak Nitrite")*(Raw_Financials!$B$2:$B$76="2023"),0)+1),""))/(IFERROR(INDEX(Raw_Financials!$E$2:$E$76, MATCH(1, (Raw_Financials!$A$2:$A$76="Deepak Nitrite")*(Raw_Financials!$B$2:$B$76="2023"),0)+1),"")))</f>
        <v>0.22809366702125608</v>
      </c>
      <c r="E10" cm="1">
        <f t="array" ref="E10">IF(OR(IFERROR(INDEX(Raw_Financials!$G$2:$G$76, MATCH(1, (Raw_Financials!$A$2:$A$76="Deepak Nitrite")*(Raw_Financials!$B$2:$B$76="2023"),0)+1),"")="",IFERROR(INDEX(Raw_Financials!$H$2:$H$76, MATCH(1, (Raw_Financials!$A$2:$A$76="Deepak Nitrite")*(Raw_Financials!$B$2:$B$76="2023"),0)+1),"")=""),"",(IFERROR(INDEX(Raw_Financials!$G$2:$G$76, MATCH(1, (Raw_Financials!$A$2:$A$76="Deepak Nitrite")*(Raw_Financials!$B$2:$B$76="2023"),0)+1),""))-(IFERROR(INDEX(Raw_Financials!$H$2:$H$76, MATCH(1, (Raw_Financials!$A$2:$A$76="Deepak Nitrite")*(Raw_Financials!$B$2:$B$76="2023"),0)+1),"")))</f>
        <v>14997.86</v>
      </c>
      <c r="F10" cm="1">
        <f t="array" ref="F10">IF(OR(IFERROR(INDEX(Raw_Financials!$C$2:$C$76, MATCH(1, (Raw_Financials!$A$2:$A$76="Deepak Nitrite")*(Raw_Financials!$B$2:$B$76="2023"),0)+1),"")="",IF(OR(IFERROR(INDEX(Raw_Financials!$G$2:$G$76, MATCH(1, (Raw_Financials!$A$2:$A$76="Deepak Nitrite")*(Raw_Financials!$B$2:$B$76="2023"),0)+1),"")="",IFERROR(INDEX(Raw_Financials!$H$2:$H$76, MATCH(1, (Raw_Financials!$A$2:$A$76="Deepak Nitrite")*(Raw_Financials!$B$2:$B$76="2023"),0)+1),"")=""),"",(IFERROR(INDEX(Raw_Financials!$G$2:$G$76, MATCH(1, (Raw_Financials!$A$2:$A$76="Deepak Nitrite")*(Raw_Financials!$B$2:$B$76="2023"),0)+1),""))-(IFERROR(INDEX(Raw_Financials!$H$2:$H$76, MATCH(1, (Raw_Financials!$A$2:$A$76="Deepak Nitrite")*(Raw_Financials!$B$2:$B$76="2023"),0)+1),"")))=""),"",(IFERROR(INDEX(Raw_Financials!$C$2:$C$76, MATCH(1, (Raw_Financials!$A$2:$A$76="Deepak Nitrite")*(Raw_Financials!$B$2:$B$76="2023"),0)+1),""))/(IF(OR(IFERROR(INDEX(Raw_Financials!$G$2:$G$76, MATCH(1, (Raw_Financials!$A$2:$A$76="Deepak Nitrite")*(Raw_Financials!$B$2:$B$76="2023"),0)+1),"")="",IFERROR(INDEX(Raw_Financials!$H$2:$H$76, MATCH(1, (Raw_Financials!$A$2:$A$76="Deepak Nitrite")*(Raw_Financials!$B$2:$B$76="2023"),0)+1),"")=""),"",(IFERROR(INDEX(Raw_Financials!$G$2:$G$76, MATCH(1, (Raw_Financials!$A$2:$A$76="Deepak Nitrite")*(Raw_Financials!$B$2:$B$76="2023"),0)+1),""))-(IFERROR(INDEX(Raw_Financials!$H$2:$H$76, MATCH(1, (Raw_Financials!$A$2:$A$76="Deepak Nitrite")*(Raw_Financials!$B$2:$B$76="2023"),0)+1),"")))))</f>
        <v>2.7444015346189388</v>
      </c>
      <c r="G10" cm="1">
        <f t="array" ref="G10">IF(OR(IFERROR(INDEX(Raw_Financials!$O$2:$O$76, MATCH(1, (Raw_Financials!$A$2:$A$76="Deepak Nitrite")*(Raw_Financials!$B$2:$B$76="2023"),0)+1),"")="",IFERROR(INDEX(Raw_Financials!$M$2:$M$76, MATCH(1, (Raw_Financials!$A$2:$A$76="Deepak Nitrite")*(Raw_Financials!$B$2:$B$76="2023"),0)+1),"")=""),"",(IFERROR(INDEX(Raw_Financials!$O$2:$O$76, MATCH(1, (Raw_Financials!$A$2:$A$76="Deepak Nitrite")*(Raw_Financials!$B$2:$B$76="2023"),0)+1),""))/(IFERROR(INDEX(Raw_Financials!$M$2:$M$76, MATCH(1, (Raw_Financials!$A$2:$A$76="Deepak Nitrite")*(Raw_Financials!$B$2:$B$76="2023"),0)+1),"")))</f>
        <v>4.668948028169801</v>
      </c>
      <c r="H10" cm="1">
        <f t="array" ref="H10">IF(OR(IFERROR(INDEX(Raw_Financials!$M$2:$M$76, MATCH(1, (Raw_Financials!$A$2:$A$76="Deepak Nitrite")*(Raw_Financials!$B$2:$B$76="2023"),0)+1),"")="",IFERROR(INDEX(Raw_Financials!$L$2:$L$76, MATCH(1, (Raw_Financials!$A$2:$A$76="Deepak Nitrite")*(Raw_Financials!$B$2:$B$76="2023"),0)+1),"")=""),"",(IFERROR(INDEX(Raw_Financials!$M$2:$M$76, MATCH(1, (Raw_Financials!$A$2:$A$76="Deepak Nitrite")*(Raw_Financials!$B$2:$B$76="2023"),0)+1),""))/(IFERROR(INDEX(Raw_Financials!$L$2:$L$76, MATCH(1, (Raw_Financials!$A$2:$A$76="Deepak Nitrite")*(Raw_Financials!$B$2:$B$76="2023"),0)+1),"")))</f>
        <v>2.7362876509861884</v>
      </c>
      <c r="I10" cm="1">
        <f t="array" ref="I10">IF(OR(IFERROR(INDEX(Raw_Financials!$N$2:$N$76, MATCH(1, (Raw_Financials!$A$2:$A$76="Deepak Nitrite")*(Raw_Financials!$B$2:$B$76="2023"),0)+1),"")="",IFERROR(INDEX(Raw_Financials!$J$2:$J$76, MATCH(1, (Raw_Financials!$A$2:$A$76="Deepak Nitrite")*(Raw_Financials!$B$2:$B$76="2023"),0)+1),"")=""),"",(IFERROR(INDEX(Raw_Financials!$N$2:$N$76, MATCH(1, (Raw_Financials!$A$2:$A$76="Deepak Nitrite")*(Raw_Financials!$B$2:$B$76="2023"),0)+1),""))-(IFERROR(INDEX(Raw_Financials!$J$2:$J$76, MATCH(1, (Raw_Financials!$A$2:$A$76="Deepak Nitrite")*(Raw_Financials!$B$2:$B$76="2023"),0)+1),"")))</f>
        <v>17766.620000000003</v>
      </c>
      <c r="J10" cm="1">
        <f t="array" ref="J10">IF(OR(IFERROR(INDEX(Raw_Financials!$M$2:$M$76, MATCH(1, (Raw_Financials!$A$2:$A$76="Deepak Nitrite")*(Raw_Financials!$B$2:$B$76="2023"),0)+1),"")="",IFERROR(INDEX(Raw_Financials!$C$2:$C$76, MATCH(1, (Raw_Financials!$A$2:$A$76="Deepak Nitrite")*(Raw_Financials!$B$2:$B$76="2023"),0)+1),"")=""),"",(IFERROR(INDEX(Raw_Financials!$M$2:$M$76, MATCH(1, (Raw_Financials!$A$2:$A$76="Deepak Nitrite")*(Raw_Financials!$B$2:$B$76="2023"),0)+1),""))/(IFERROR(INDEX(Raw_Financials!$C$2:$C$76, MATCH(1, (Raw_Financials!$A$2:$A$76="Deepak Nitrite")*(Raw_Financials!$B$2:$B$76="2023"),0)+1),"")))</f>
        <v>0.26087708621081312</v>
      </c>
      <c r="K10" cm="1">
        <f t="array" ref="K10">IF(OR(IFERROR(INDEX(Raw_ESG!$C$2:$C$76, MATCH(1, (Raw_ESG!$A$2:$A$76="Deepak Nitrite")*(Raw_ESG!$B$2:$B$76="2023"),0)+1),"")="",IFERROR(INDEX(Raw_Financials!$J$2:$J$76, MATCH(1, (Raw_Financials!$A$2:$A$76="Deepak Nitrite")*(Raw_Financials!$B$2:$B$76="2023"),0)+1),"")=""),"",(IFERROR(INDEX(Raw_ESG!$C$2:$C$76, MATCH(1, (Raw_ESG!$A$2:$A$76="Deepak Nitrite")*(Raw_ESG!$B$2:$B$76="2023"),0)+1),""))/(IFERROR(INDEX(Raw_Financials!$J$2:$J$76, MATCH(1, (Raw_Financials!$A$2:$A$76="Deepak Nitrite")*(Raw_Financials!$B$2:$B$76="2023"),0)+1),"")))</f>
        <v>0.60570228699151363</v>
      </c>
      <c r="L10" cm="1">
        <f t="array" ref="L10">IF(OR(IFERROR(INDEX(Raw_ESG!$D$2:$D$76, MATCH(1, (Raw_ESG!$A$2:$A$76="Deepak Nitrite")*(Raw_ESG!$B$2:$B$76="2023"),0)+1),"")="",IFERROR(INDEX(Raw_Financials!$E$2:$E$76, MATCH(1, (Raw_Financials!$A$2:$A$76="Deepak Nitrite")*(Raw_Financials!$B$2:$B$76="2023"),0)+1),"")=""),"",(IFERROR(INDEX(Raw_ESG!$D$2:$D$76, MATCH(1, (Raw_ESG!$A$2:$A$76="Deepak Nitrite")*(Raw_ESG!$B$2:$B$76="2023"),0)+1),""))/(IFERROR(INDEX(Raw_Financials!$E$2:$E$76, MATCH(1, (Raw_Financials!$A$2:$A$76="Deepak Nitrite")*(Raw_Financials!$B$2:$B$76="2023"),0)+1),"")))</f>
        <v>8.9883040909746831E-2</v>
      </c>
      <c r="M10" cm="1">
        <f t="array" ref="M10">IF(OR(IFERROR(INDEX(Raw_ESG!$E$2:$E$76, MATCH(1, (Raw_ESG!$A$2:$A$76="Deepak Nitrite")*(Raw_ESG!$B$2:$B$76="2023"),0)+1),"")="",IFERROR(INDEX(Raw_ESG!$F$2:$F$76, MATCH(1, (Raw_ESG!$A$2:$A$76="Deepak Nitrite")*(Raw_ESG!$B$2:$B$76="2023"),0)+1),"")=""),"",(IFERROR(INDEX(Raw_ESG!$E$2:$E$76, MATCH(1, (Raw_ESG!$A$2:$A$76="Deepak Nitrite")*(Raw_ESG!$B$2:$B$76="2023"),0)+1),""))+(IFERROR(INDEX(Raw_ESG!$F$2:$F$76, MATCH(1, (Raw_ESG!$A$2:$A$76="Deepak Nitrite")*(Raw_ESG!$B$2:$B$76="2023"),0)+1),"")))</f>
        <v>157583.78</v>
      </c>
      <c r="N10" cm="1">
        <f t="array" ref="N10">IFERROR(INDEX(Raw_ESG!$G$2:$G$76, MATCH(1, (Raw_ESG!$A$2:$A$76="Deepak Nitrite")*(Raw_ESG!$B$2:$B$76="2023"),0)+1),"")</f>
        <v>53.54</v>
      </c>
    </row>
    <row r="11" spans="1:14" x14ac:dyDescent="0.35">
      <c r="A11" t="s">
        <v>3</v>
      </c>
      <c r="B11" t="s">
        <v>37</v>
      </c>
      <c r="C11" cm="1">
        <f t="array" ref="C11">IF(OR(IFERROR(INDEX(Raw_Financials!$E$2:$E$76, MATCH(1, (Raw_Financials!$A$2:$A$76="Deepak Nitrite")*(Raw_Financials!$B$2:$B$76="2024"),0)+1),"")="",IFERROR(INDEX(Raw_Financials!$D$2:$D$76, MATCH(1, (Raw_Financials!$A$2:$A$76="Deepak Nitrite")*(Raw_Financials!$B$2:$B$76="2024"),0)+1),"")=""),"",(IFERROR(INDEX(Raw_Financials!$D$2:$D$76, MATCH(1, (Raw_Financials!$A$2:$A$76="Deepak Nitrite")*(Raw_Financials!$B$2:$B$76="2024"),0)+1),""))/(IFERROR(INDEX(Raw_Financials!$E$2:$E$76, MATCH(1, (Raw_Financials!$A$2:$A$76="Deepak Nitrite")*(Raw_Financials!$B$2:$B$76="2024"),0)+1),"")))</f>
        <v>6.1162424097447203E-2</v>
      </c>
      <c r="D11" cm="1">
        <f t="array" ref="D11">IF(OR(IFERROR(INDEX(Raw_Financials!$E$2:$E$76, MATCH(1, (Raw_Financials!$A$2:$A$76="Deepak Nitrite")*(Raw_Financials!$B$2:$B$76="2024"),0)+1),"")="",IFERROR(INDEX(Raw_Financials!$C$2:$C$76, MATCH(1, (Raw_Financials!$A$2:$A$76="Deepak Nitrite")*(Raw_Financials!$B$2:$B$76="2024"),0)+1),"")=""),"",(IFERROR(INDEX(Raw_Financials!$C$2:$C$76, MATCH(1, (Raw_Financials!$A$2:$A$76="Deepak Nitrite")*(Raw_Financials!$B$2:$B$76="2024"),0)+1),""))/(IFERROR(INDEX(Raw_Financials!$E$2:$E$76, MATCH(1, (Raw_Financials!$A$2:$A$76="Deepak Nitrite")*(Raw_Financials!$B$2:$B$76="2024"),0)+1),"")))</f>
        <v>0.72790458971968863</v>
      </c>
      <c r="E11" cm="1">
        <f t="array" ref="E11">IF(OR(IFERROR(INDEX(Raw_Financials!$G$2:$G$76, MATCH(1, (Raw_Financials!$A$2:$A$76="Deepak Nitrite")*(Raw_Financials!$B$2:$B$76="2024"),0)+1),"")="",IFERROR(INDEX(Raw_Financials!$H$2:$H$76, MATCH(1, (Raw_Financials!$A$2:$A$76="Deepak Nitrite")*(Raw_Financials!$B$2:$B$76="2024"),0)+1),"")=""),"",(IFERROR(INDEX(Raw_Financials!$G$2:$G$76, MATCH(1, (Raw_Financials!$A$2:$A$76="Deepak Nitrite")*(Raw_Financials!$B$2:$B$76="2024"),0)+1),""))-(IFERROR(INDEX(Raw_Financials!$H$2:$H$76, MATCH(1, (Raw_Financials!$A$2:$A$76="Deepak Nitrite")*(Raw_Financials!$B$2:$B$76="2024"),0)+1),"")))</f>
        <v>37164.36</v>
      </c>
      <c r="F11" cm="1">
        <f t="array" ref="F11">IF(OR(IFERROR(INDEX(Raw_Financials!$C$2:$C$76, MATCH(1, (Raw_Financials!$A$2:$A$76="Deepak Nitrite")*(Raw_Financials!$B$2:$B$76="2024"),0)+1),"")="",IF(OR(IFERROR(INDEX(Raw_Financials!$G$2:$G$76, MATCH(1, (Raw_Financials!$A$2:$A$76="Deepak Nitrite")*(Raw_Financials!$B$2:$B$76="2024"),0)+1),"")="",IFERROR(INDEX(Raw_Financials!$H$2:$H$76, MATCH(1, (Raw_Financials!$A$2:$A$76="Deepak Nitrite")*(Raw_Financials!$B$2:$B$76="2024"),0)+1),"")=""),"",(IFERROR(INDEX(Raw_Financials!$G$2:$G$76, MATCH(1, (Raw_Financials!$A$2:$A$76="Deepak Nitrite")*(Raw_Financials!$B$2:$B$76="2024"),0)+1),""))-(IFERROR(INDEX(Raw_Financials!$H$2:$H$76, MATCH(1, (Raw_Financials!$A$2:$A$76="Deepak Nitrite")*(Raw_Financials!$B$2:$B$76="2024"),0)+1),"")))=""),"",(IFERROR(INDEX(Raw_Financials!$C$2:$C$76, MATCH(1, (Raw_Financials!$A$2:$A$76="Deepak Nitrite")*(Raw_Financials!$B$2:$B$76="2024"),0)+1),""))/(IF(OR(IFERROR(INDEX(Raw_Financials!$G$2:$G$76, MATCH(1, (Raw_Financials!$A$2:$A$76="Deepak Nitrite")*(Raw_Financials!$B$2:$B$76="2024"),0)+1),"")="",IFERROR(INDEX(Raw_Financials!$H$2:$H$76, MATCH(1, (Raw_Financials!$A$2:$A$76="Deepak Nitrite")*(Raw_Financials!$B$2:$B$76="2024"),0)+1),"")=""),"",(IFERROR(INDEX(Raw_Financials!$G$2:$G$76, MATCH(1, (Raw_Financials!$A$2:$A$76="Deepak Nitrite")*(Raw_Financials!$B$2:$B$76="2024"),0)+1),""))-(IFERROR(INDEX(Raw_Financials!$H$2:$H$76, MATCH(1, (Raw_Financials!$A$2:$A$76="Deepak Nitrite")*(Raw_Financials!$B$2:$B$76="2024"),0)+1),"")))))</f>
        <v>1.8946455690344188</v>
      </c>
      <c r="G11" cm="1">
        <f t="array" ref="G11">IF(OR(IFERROR(INDEX(Raw_Financials!$O$2:$O$76, MATCH(1, (Raw_Financials!$A$2:$A$76="Deepak Nitrite")*(Raw_Financials!$B$2:$B$76="2024"),0)+1),"")="",IFERROR(INDEX(Raw_Financials!$M$2:$M$76, MATCH(1, (Raw_Financials!$A$2:$A$76="Deepak Nitrite")*(Raw_Financials!$B$2:$B$76="2024"),0)+1),"")=""),"",(IFERROR(INDEX(Raw_Financials!$O$2:$O$76, MATCH(1, (Raw_Financials!$A$2:$A$76="Deepak Nitrite")*(Raw_Financials!$B$2:$B$76="2024"),0)+1),""))/(IFERROR(INDEX(Raw_Financials!$M$2:$M$76, MATCH(1, (Raw_Financials!$A$2:$A$76="Deepak Nitrite")*(Raw_Financials!$B$2:$B$76="2024"),0)+1),"")))</f>
        <v>3.2655911673770976</v>
      </c>
      <c r="H11" cm="1">
        <f t="array" ref="H11">IF(OR(IFERROR(INDEX(Raw_Financials!$M$2:$M$76, MATCH(1, (Raw_Financials!$A$2:$A$76="Deepak Nitrite")*(Raw_Financials!$B$2:$B$76="2024"),0)+1),"")="",IFERROR(INDEX(Raw_Financials!$L$2:$L$76, MATCH(1, (Raw_Financials!$A$2:$A$76="Deepak Nitrite")*(Raw_Financials!$B$2:$B$76="2024"),0)+1),"")=""),"",(IFERROR(INDEX(Raw_Financials!$M$2:$M$76, MATCH(1, (Raw_Financials!$A$2:$A$76="Deepak Nitrite")*(Raw_Financials!$B$2:$B$76="2024"),0)+1),""))/(IFERROR(INDEX(Raw_Financials!$L$2:$L$76, MATCH(1, (Raw_Financials!$A$2:$A$76="Deepak Nitrite")*(Raw_Financials!$B$2:$B$76="2024"),0)+1),"")))</f>
        <v>2.8261576139701812</v>
      </c>
      <c r="I11" cm="1">
        <f t="array" ref="I11">IF(OR(IFERROR(INDEX(Raw_Financials!$N$2:$N$76, MATCH(1, (Raw_Financials!$A$2:$A$76="Deepak Nitrite")*(Raw_Financials!$B$2:$B$76="2024"),0)+1),"")="",IFERROR(INDEX(Raw_Financials!$J$2:$J$76, MATCH(1, (Raw_Financials!$A$2:$A$76="Deepak Nitrite")*(Raw_Financials!$B$2:$B$76="2024"),0)+1),"")=""),"",(IFERROR(INDEX(Raw_Financials!$N$2:$N$76, MATCH(1, (Raw_Financials!$A$2:$A$76="Deepak Nitrite")*(Raw_Financials!$B$2:$B$76="2024"),0)+1),""))-(IFERROR(INDEX(Raw_Financials!$J$2:$J$76, MATCH(1, (Raw_Financials!$A$2:$A$76="Deepak Nitrite")*(Raw_Financials!$B$2:$B$76="2024"),0)+1),"")))</f>
        <v>15691.45</v>
      </c>
      <c r="J11" cm="1">
        <f t="array" ref="J11">IF(OR(IFERROR(INDEX(Raw_Financials!$M$2:$M$76, MATCH(1, (Raw_Financials!$A$2:$A$76="Deepak Nitrite")*(Raw_Financials!$B$2:$B$76="2024"),0)+1),"")="",IFERROR(INDEX(Raw_Financials!$C$2:$C$76, MATCH(1, (Raw_Financials!$A$2:$A$76="Deepak Nitrite")*(Raw_Financials!$B$2:$B$76="2024"),0)+1),"")=""),"",(IFERROR(INDEX(Raw_Financials!$M$2:$M$76, MATCH(1, (Raw_Financials!$A$2:$A$76="Deepak Nitrite")*(Raw_Financials!$B$2:$B$76="2024"),0)+1),""))/(IFERROR(INDEX(Raw_Financials!$C$2:$C$76, MATCH(1, (Raw_Financials!$A$2:$A$76="Deepak Nitrite")*(Raw_Financials!$B$2:$B$76="2024"),0)+1),"")))</f>
        <v>0.2464827307458578</v>
      </c>
      <c r="K11" cm="1">
        <f t="array" ref="K11">IF(OR(IFERROR(INDEX(Raw_ESG!$C$2:$C$76, MATCH(1, (Raw_ESG!$A$2:$A$76="Deepak Nitrite")*(Raw_ESG!$B$2:$B$76="2024"),0)+1),"")="",IFERROR(INDEX(Raw_Financials!$J$2:$J$76, MATCH(1, (Raw_Financials!$A$2:$A$76="Deepak Nitrite")*(Raw_Financials!$B$2:$B$76="2024"),0)+1),"")=""),"",(IFERROR(INDEX(Raw_ESG!$C$2:$C$76, MATCH(1, (Raw_ESG!$A$2:$A$76="Deepak Nitrite")*(Raw_ESG!$B$2:$B$76="2024"),0)+1),""))/(IFERROR(INDEX(Raw_Financials!$J$2:$J$76, MATCH(1, (Raw_Financials!$A$2:$A$76="Deepak Nitrite")*(Raw_Financials!$B$2:$B$76="2024"),0)+1),"")))</f>
        <v>0.20631568935178579</v>
      </c>
      <c r="L11" cm="1">
        <f t="array" ref="L11">IF(OR(IFERROR(INDEX(Raw_ESG!$D$2:$D$76, MATCH(1, (Raw_ESG!$A$2:$A$76="Deepak Nitrite")*(Raw_ESG!$B$2:$B$76="2024"),0)+1),"")="",IFERROR(INDEX(Raw_Financials!$E$2:$E$76, MATCH(1, (Raw_Financials!$A$2:$A$76="Deepak Nitrite")*(Raw_Financials!$B$2:$B$76="2024"),0)+1),"")=""),"",(IFERROR(INDEX(Raw_ESG!$D$2:$D$76, MATCH(1, (Raw_ESG!$A$2:$A$76="Deepak Nitrite")*(Raw_ESG!$B$2:$B$76="2024"),0)+1),""))/(IFERROR(INDEX(Raw_Financials!$E$2:$E$76, MATCH(1, (Raw_Financials!$A$2:$A$76="Deepak Nitrite")*(Raw_Financials!$B$2:$B$76="2024"),0)+1),"")))</f>
        <v>0.17060837720008729</v>
      </c>
      <c r="M11" cm="1">
        <f t="array" ref="M11">IF(OR(IFERROR(INDEX(Raw_ESG!$E$2:$E$76, MATCH(1, (Raw_ESG!$A$2:$A$76="Deepak Nitrite")*(Raw_ESG!$B$2:$B$76="2024"),0)+1),"")="",IFERROR(INDEX(Raw_ESG!$F$2:$F$76, MATCH(1, (Raw_ESG!$A$2:$A$76="Deepak Nitrite")*(Raw_ESG!$B$2:$B$76="2024"),0)+1),"")=""),"",(IFERROR(INDEX(Raw_ESG!$E$2:$E$76, MATCH(1, (Raw_ESG!$A$2:$A$76="Deepak Nitrite")*(Raw_ESG!$B$2:$B$76="2024"),0)+1),""))+(IFERROR(INDEX(Raw_ESG!$F$2:$F$76, MATCH(1, (Raw_ESG!$A$2:$A$76="Deepak Nitrite")*(Raw_ESG!$B$2:$B$76="2024"),0)+1),"")))</f>
        <v>147900.91999999998</v>
      </c>
      <c r="N11" cm="1">
        <f t="array" ref="N11">IFERROR(INDEX(Raw_ESG!$G$2:$G$76, MATCH(1, (Raw_ESG!$A$2:$A$76="Deepak Nitrite")*(Raw_ESG!$B$2:$B$76="2024"),0)+1),"")</f>
        <v>61.95</v>
      </c>
    </row>
    <row r="12" spans="1:14" x14ac:dyDescent="0.35">
      <c r="A12" t="s">
        <v>4</v>
      </c>
      <c r="B12" t="s">
        <v>33</v>
      </c>
      <c r="C12" cm="1">
        <f t="array" ref="C12">IF(OR(IFERROR(INDEX(Raw_Financials!$E$2:$E$76, MATCH(1, (Raw_Financials!$A$2:$A$76="Linde India")*(Raw_Financials!$B$2:$B$76="2020"),0)+1),"")="",IFERROR(INDEX(Raw_Financials!$D$2:$D$76, MATCH(1, (Raw_Financials!$A$2:$A$76="Linde India")*(Raw_Financials!$B$2:$B$76="2020"),0)+1),"")=""),"",(IFERROR(INDEX(Raw_Financials!$D$2:$D$76, MATCH(1, (Raw_Financials!$A$2:$A$76="Linde India")*(Raw_Financials!$B$2:$B$76="2020"),0)+1),""))/(IFERROR(INDEX(Raw_Financials!$E$2:$E$76, MATCH(1, (Raw_Financials!$A$2:$A$76="Linde India")*(Raw_Financials!$B$2:$B$76="2020"),0)+1),"")))</f>
        <v>6.3763658529053552E-2</v>
      </c>
      <c r="D12" cm="1">
        <f t="array" ref="D12">IF(OR(IFERROR(INDEX(Raw_Financials!$E$2:$E$76, MATCH(1, (Raw_Financials!$A$2:$A$76="Linde India")*(Raw_Financials!$B$2:$B$76="2020"),0)+1),"")="",IFERROR(INDEX(Raw_Financials!$C$2:$C$76, MATCH(1, (Raw_Financials!$A$2:$A$76="Linde India")*(Raw_Financials!$B$2:$B$76="2020"),0)+1),"")=""),"",(IFERROR(INDEX(Raw_Financials!$C$2:$C$76, MATCH(1, (Raw_Financials!$A$2:$A$76="Linde India")*(Raw_Financials!$B$2:$B$76="2020"),0)+1),""))/(IFERROR(INDEX(Raw_Financials!$E$2:$E$76, MATCH(1, (Raw_Financials!$A$2:$A$76="Linde India")*(Raw_Financials!$B$2:$B$76="2020"),0)+1),"")))</f>
        <v>0.64834491479618217</v>
      </c>
      <c r="E12" cm="1">
        <f t="array" ref="E12">IF(OR(IFERROR(INDEX(Raw_Financials!$G$2:$G$76, MATCH(1, (Raw_Financials!$A$2:$A$76="Linde India")*(Raw_Financials!$B$2:$B$76="2020"),0)+1),"")="",IFERROR(INDEX(Raw_Financials!$H$2:$H$76, MATCH(1, (Raw_Financials!$A$2:$A$76="Linde India")*(Raw_Financials!$B$2:$B$76="2020"),0)+1),"")=""),"",(IFERROR(INDEX(Raw_Financials!$G$2:$G$76, MATCH(1, (Raw_Financials!$A$2:$A$76="Linde India")*(Raw_Financials!$B$2:$B$76="2020"),0)+1),""))-(IFERROR(INDEX(Raw_Financials!$H$2:$H$76, MATCH(1, (Raw_Financials!$A$2:$A$76="Linde India")*(Raw_Financials!$B$2:$B$76="2020"),0)+1),"")))</f>
        <v>8308.7900000000009</v>
      </c>
      <c r="F12" cm="1">
        <f t="array" ref="F12">IF(OR(IFERROR(INDEX(Raw_Financials!$C$2:$C$76, MATCH(1, (Raw_Financials!$A$2:$A$76="Linde India")*(Raw_Financials!$B$2:$B$76="2020"),0)+1),"")="",IF(OR(IFERROR(INDEX(Raw_Financials!$G$2:$G$76, MATCH(1, (Raw_Financials!$A$2:$A$76="Linde India")*(Raw_Financials!$B$2:$B$76="2020"),0)+1),"")="",IFERROR(INDEX(Raw_Financials!$H$2:$H$76, MATCH(1, (Raw_Financials!$A$2:$A$76="Linde India")*(Raw_Financials!$B$2:$B$76="2020"),0)+1),"")=""),"",(IFERROR(INDEX(Raw_Financials!$G$2:$G$76, MATCH(1, (Raw_Financials!$A$2:$A$76="Linde India")*(Raw_Financials!$B$2:$B$76="2020"),0)+1),""))-(IFERROR(INDEX(Raw_Financials!$H$2:$H$76, MATCH(1, (Raw_Financials!$A$2:$A$76="Linde India")*(Raw_Financials!$B$2:$B$76="2020"),0)+1),"")))=""),"",(IFERROR(INDEX(Raw_Financials!$C$2:$C$76, MATCH(1, (Raw_Financials!$A$2:$A$76="Linde India")*(Raw_Financials!$B$2:$B$76="2020"),0)+1),""))/(IF(OR(IFERROR(INDEX(Raw_Financials!$G$2:$G$76, MATCH(1, (Raw_Financials!$A$2:$A$76="Linde India")*(Raw_Financials!$B$2:$B$76="2020"),0)+1),"")="",IFERROR(INDEX(Raw_Financials!$H$2:$H$76, MATCH(1, (Raw_Financials!$A$2:$A$76="Linde India")*(Raw_Financials!$B$2:$B$76="2020"),0)+1),"")=""),"",(IFERROR(INDEX(Raw_Financials!$G$2:$G$76, MATCH(1, (Raw_Financials!$A$2:$A$76="Linde India")*(Raw_Financials!$B$2:$B$76="2020"),0)+1),""))-(IFERROR(INDEX(Raw_Financials!$H$2:$H$76, MATCH(1, (Raw_Financials!$A$2:$A$76="Linde India")*(Raw_Financials!$B$2:$B$76="2020"),0)+1),"")))))</f>
        <v>8.0354804971602345</v>
      </c>
      <c r="G12" cm="1">
        <f t="array" ref="G12">IF(OR(IFERROR(INDEX(Raw_Financials!$O$2:$O$76, MATCH(1, (Raw_Financials!$A$2:$A$76="Linde India")*(Raw_Financials!$B$2:$B$76="2020"),0)+1),"")="",IFERROR(INDEX(Raw_Financials!$M$2:$M$76, MATCH(1, (Raw_Financials!$A$2:$A$76="Linde India")*(Raw_Financials!$B$2:$B$76="2020"),0)+1),"")=""),"",(IFERROR(INDEX(Raw_Financials!$O$2:$O$76, MATCH(1, (Raw_Financials!$A$2:$A$76="Linde India")*(Raw_Financials!$B$2:$B$76="2020"),0)+1),""))/(IFERROR(INDEX(Raw_Financials!$M$2:$M$76, MATCH(1, (Raw_Financials!$A$2:$A$76="Linde India")*(Raw_Financials!$B$2:$B$76="2020"),0)+1),"")))</f>
        <v>3.2872903680713677</v>
      </c>
      <c r="H12" cm="1">
        <f t="array" ref="H12">IF(OR(IFERROR(INDEX(Raw_Financials!$M$2:$M$76, MATCH(1, (Raw_Financials!$A$2:$A$76="Linde India")*(Raw_Financials!$B$2:$B$76="2020"),0)+1),"")="",IFERROR(INDEX(Raw_Financials!$L$2:$L$76, MATCH(1, (Raw_Financials!$A$2:$A$76="Linde India")*(Raw_Financials!$B$2:$B$76="2020"),0)+1),"")=""),"",(IFERROR(INDEX(Raw_Financials!$M$2:$M$76, MATCH(1, (Raw_Financials!$A$2:$A$76="Linde India")*(Raw_Financials!$B$2:$B$76="2020"),0)+1),""))/(IFERROR(INDEX(Raw_Financials!$L$2:$L$76, MATCH(1, (Raw_Financials!$A$2:$A$76="Linde India")*(Raw_Financials!$B$2:$B$76="2020"),0)+1),"")))</f>
        <v>2.3555116611303806</v>
      </c>
      <c r="I12" cm="1">
        <f t="array" ref="I12">IF(OR(IFERROR(INDEX(Raw_Financials!$N$2:$N$76, MATCH(1, (Raw_Financials!$A$2:$A$76="Linde India")*(Raw_Financials!$B$2:$B$76="2020"),0)+1),"")="",IFERROR(INDEX(Raw_Financials!$J$2:$J$76, MATCH(1, (Raw_Financials!$A$2:$A$76="Linde India")*(Raw_Financials!$B$2:$B$76="2020"),0)+1),"")=""),"",(IFERROR(INDEX(Raw_Financials!$N$2:$N$76, MATCH(1, (Raw_Financials!$A$2:$A$76="Linde India")*(Raw_Financials!$B$2:$B$76="2020"),0)+1),""))-(IFERROR(INDEX(Raw_Financials!$J$2:$J$76, MATCH(1, (Raw_Financials!$A$2:$A$76="Linde India")*(Raw_Financials!$B$2:$B$76="2020"),0)+1),"")))</f>
        <v>19652.509999999998</v>
      </c>
      <c r="J12" cm="1">
        <f t="array" ref="J12">IF(OR(IFERROR(INDEX(Raw_Financials!$M$2:$M$76, MATCH(1, (Raw_Financials!$A$2:$A$76="Linde India")*(Raw_Financials!$B$2:$B$76="2020"),0)+1),"")="",IFERROR(INDEX(Raw_Financials!$C$2:$C$76, MATCH(1, (Raw_Financials!$A$2:$A$76="Linde India")*(Raw_Financials!$B$2:$B$76="2020"),0)+1),"")=""),"",(IFERROR(INDEX(Raw_Financials!$M$2:$M$76, MATCH(1, (Raw_Financials!$A$2:$A$76="Linde India")*(Raw_Financials!$B$2:$B$76="2020"),0)+1),""))/(IFERROR(INDEX(Raw_Financials!$C$2:$C$76, MATCH(1, (Raw_Financials!$A$2:$A$76="Linde India")*(Raw_Financials!$B$2:$B$76="2020"),0)+1),"")))</f>
        <v>0.20201161924070535</v>
      </c>
      <c r="K12" cm="1">
        <f t="array" ref="K12">IF(OR(IFERROR(INDEX(Raw_ESG!$C$2:$C$76, MATCH(1, (Raw_ESG!$A$2:$A$76="Linde India")*(Raw_ESG!$B$2:$B$76="2020"),0)+1),"")="",IFERROR(INDEX(Raw_Financials!$J$2:$J$76, MATCH(1, (Raw_Financials!$A$2:$A$76="Linde India")*(Raw_Financials!$B$2:$B$76="2020"),0)+1),"")=""),"",(IFERROR(INDEX(Raw_ESG!$C$2:$C$76, MATCH(1, (Raw_ESG!$A$2:$A$76="Linde India")*(Raw_ESG!$B$2:$B$76="2020"),0)+1),""))/(IFERROR(INDEX(Raw_Financials!$J$2:$J$76, MATCH(1, (Raw_Financials!$A$2:$A$76="Linde India")*(Raw_Financials!$B$2:$B$76="2020"),0)+1),"")))</f>
        <v>0.72617338525214581</v>
      </c>
      <c r="L12" cm="1">
        <f t="array" ref="L12">IF(OR(IFERROR(INDEX(Raw_ESG!$D$2:$D$76, MATCH(1, (Raw_ESG!$A$2:$A$76="Linde India")*(Raw_ESG!$B$2:$B$76="2020"),0)+1),"")="",IFERROR(INDEX(Raw_Financials!$E$2:$E$76, MATCH(1, (Raw_Financials!$A$2:$A$76="Linde India")*(Raw_Financials!$B$2:$B$76="2020"),0)+1),"")=""),"",(IFERROR(INDEX(Raw_ESG!$D$2:$D$76, MATCH(1, (Raw_ESG!$A$2:$A$76="Linde India")*(Raw_ESG!$B$2:$B$76="2020"),0)+1),""))/(IFERROR(INDEX(Raw_Financials!$E$2:$E$76, MATCH(1, (Raw_Financials!$A$2:$A$76="Linde India")*(Raw_Financials!$B$2:$B$76="2020"),0)+1),"")))</f>
        <v>0.23880996463508924</v>
      </c>
      <c r="M12" cm="1">
        <f t="array" ref="M12">IF(OR(IFERROR(INDEX(Raw_ESG!$E$2:$E$76, MATCH(1, (Raw_ESG!$A$2:$A$76="Linde India")*(Raw_ESG!$B$2:$B$76="2020"),0)+1),"")="",IFERROR(INDEX(Raw_ESG!$F$2:$F$76, MATCH(1, (Raw_ESG!$A$2:$A$76="Linde India")*(Raw_ESG!$B$2:$B$76="2020"),0)+1),"")=""),"",(IFERROR(INDEX(Raw_ESG!$E$2:$E$76, MATCH(1, (Raw_ESG!$A$2:$A$76="Linde India")*(Raw_ESG!$B$2:$B$76="2020"),0)+1),""))+(IFERROR(INDEX(Raw_ESG!$F$2:$F$76, MATCH(1, (Raw_ESG!$A$2:$A$76="Linde India")*(Raw_ESG!$B$2:$B$76="2020"),0)+1),"")))</f>
        <v>152269.20000000001</v>
      </c>
      <c r="N12" cm="1">
        <f t="array" ref="N12">IFERROR(INDEX(Raw_ESG!$G$2:$G$76, MATCH(1, (Raw_ESG!$A$2:$A$76="Linde India")*(Raw_ESG!$B$2:$B$76="2020"),0)+1),"")</f>
        <v>43.92</v>
      </c>
    </row>
    <row r="13" spans="1:14" x14ac:dyDescent="0.35">
      <c r="A13" t="s">
        <v>4</v>
      </c>
      <c r="B13" t="s">
        <v>34</v>
      </c>
      <c r="C13" cm="1">
        <f t="array" ref="C13">IF(OR(IFERROR(INDEX(Raw_Financials!$E$2:$E$76, MATCH(1, (Raw_Financials!$A$2:$A$76="Linde India")*(Raw_Financials!$B$2:$B$76="2021"),0)+1),"")="",IFERROR(INDEX(Raw_Financials!$D$2:$D$76, MATCH(1, (Raw_Financials!$A$2:$A$76="Linde India")*(Raw_Financials!$B$2:$B$76="2021"),0)+1),"")=""),"",(IFERROR(INDEX(Raw_Financials!$D$2:$D$76, MATCH(1, (Raw_Financials!$A$2:$A$76="Linde India")*(Raw_Financials!$B$2:$B$76="2021"),0)+1),""))/(IFERROR(INDEX(Raw_Financials!$E$2:$E$76, MATCH(1, (Raw_Financials!$A$2:$A$76="Linde India")*(Raw_Financials!$B$2:$B$76="2021"),0)+1),"")))</f>
        <v>2.2965359007719274E-2</v>
      </c>
      <c r="D13" cm="1">
        <f t="array" ref="D13">IF(OR(IFERROR(INDEX(Raw_Financials!$E$2:$E$76, MATCH(1, (Raw_Financials!$A$2:$A$76="Linde India")*(Raw_Financials!$B$2:$B$76="2021"),0)+1),"")="",IFERROR(INDEX(Raw_Financials!$C$2:$C$76, MATCH(1, (Raw_Financials!$A$2:$A$76="Linde India")*(Raw_Financials!$B$2:$B$76="2021"),0)+1),"")=""),"",(IFERROR(INDEX(Raw_Financials!$C$2:$C$76, MATCH(1, (Raw_Financials!$A$2:$A$76="Linde India")*(Raw_Financials!$B$2:$B$76="2021"),0)+1),""))/(IFERROR(INDEX(Raw_Financials!$E$2:$E$76, MATCH(1, (Raw_Financials!$A$2:$A$76="Linde India")*(Raw_Financials!$B$2:$B$76="2021"),0)+1),"")))</f>
        <v>0.19678299015779019</v>
      </c>
      <c r="E13" cm="1">
        <f t="array" ref="E13">IF(OR(IFERROR(INDEX(Raw_Financials!$G$2:$G$76, MATCH(1, (Raw_Financials!$A$2:$A$76="Linde India")*(Raw_Financials!$B$2:$B$76="2021"),0)+1),"")="",IFERROR(INDEX(Raw_Financials!$H$2:$H$76, MATCH(1, (Raw_Financials!$A$2:$A$76="Linde India")*(Raw_Financials!$B$2:$B$76="2021"),0)+1),"")=""),"",(IFERROR(INDEX(Raw_Financials!$G$2:$G$76, MATCH(1, (Raw_Financials!$A$2:$A$76="Linde India")*(Raw_Financials!$B$2:$B$76="2021"),0)+1),""))-(IFERROR(INDEX(Raw_Financials!$H$2:$H$76, MATCH(1, (Raw_Financials!$A$2:$A$76="Linde India")*(Raw_Financials!$B$2:$B$76="2021"),0)+1),"")))</f>
        <v>-4481.8499999999985</v>
      </c>
      <c r="F13" cm="1">
        <f t="array" ref="F13">IF(OR(IFERROR(INDEX(Raw_Financials!$C$2:$C$76, MATCH(1, (Raw_Financials!$A$2:$A$76="Linde India")*(Raw_Financials!$B$2:$B$76="2021"),0)+1),"")="",IF(OR(IFERROR(INDEX(Raw_Financials!$G$2:$G$76, MATCH(1, (Raw_Financials!$A$2:$A$76="Linde India")*(Raw_Financials!$B$2:$B$76="2021"),0)+1),"")="",IFERROR(INDEX(Raw_Financials!$H$2:$H$76, MATCH(1, (Raw_Financials!$A$2:$A$76="Linde India")*(Raw_Financials!$B$2:$B$76="2021"),0)+1),"")=""),"",(IFERROR(INDEX(Raw_Financials!$G$2:$G$76, MATCH(1, (Raw_Financials!$A$2:$A$76="Linde India")*(Raw_Financials!$B$2:$B$76="2021"),0)+1),""))-(IFERROR(INDEX(Raw_Financials!$H$2:$H$76, MATCH(1, (Raw_Financials!$A$2:$A$76="Linde India")*(Raw_Financials!$B$2:$B$76="2021"),0)+1),"")))=""),"",(IFERROR(INDEX(Raw_Financials!$C$2:$C$76, MATCH(1, (Raw_Financials!$A$2:$A$76="Linde India")*(Raw_Financials!$B$2:$B$76="2021"),0)+1),""))/(IF(OR(IFERROR(INDEX(Raw_Financials!$G$2:$G$76, MATCH(1, (Raw_Financials!$A$2:$A$76="Linde India")*(Raw_Financials!$B$2:$B$76="2021"),0)+1),"")="",IFERROR(INDEX(Raw_Financials!$H$2:$H$76, MATCH(1, (Raw_Financials!$A$2:$A$76="Linde India")*(Raw_Financials!$B$2:$B$76="2021"),0)+1),"")=""),"",(IFERROR(INDEX(Raw_Financials!$G$2:$G$76, MATCH(1, (Raw_Financials!$A$2:$A$76="Linde India")*(Raw_Financials!$B$2:$B$76="2021"),0)+1),""))-(IFERROR(INDEX(Raw_Financials!$H$2:$H$76, MATCH(1, (Raw_Financials!$A$2:$A$76="Linde India")*(Raw_Financials!$B$2:$B$76="2021"),0)+1),"")))))</f>
        <v>-9.383027098184904</v>
      </c>
      <c r="G13" cm="1">
        <f t="array" ref="G13">IF(OR(IFERROR(INDEX(Raw_Financials!$O$2:$O$76, MATCH(1, (Raw_Financials!$A$2:$A$76="Linde India")*(Raw_Financials!$B$2:$B$76="2021"),0)+1),"")="",IFERROR(INDEX(Raw_Financials!$M$2:$M$76, MATCH(1, (Raw_Financials!$A$2:$A$76="Linde India")*(Raw_Financials!$B$2:$B$76="2021"),0)+1),"")=""),"",(IFERROR(INDEX(Raw_Financials!$O$2:$O$76, MATCH(1, (Raw_Financials!$A$2:$A$76="Linde India")*(Raw_Financials!$B$2:$B$76="2021"),0)+1),""))/(IFERROR(INDEX(Raw_Financials!$M$2:$M$76, MATCH(1, (Raw_Financials!$A$2:$A$76="Linde India")*(Raw_Financials!$B$2:$B$76="2021"),0)+1),"")))</f>
        <v>5.9029291708185587</v>
      </c>
      <c r="H13" cm="1">
        <f t="array" ref="H13">IF(OR(IFERROR(INDEX(Raw_Financials!$M$2:$M$76, MATCH(1, (Raw_Financials!$A$2:$A$76="Linde India")*(Raw_Financials!$B$2:$B$76="2021"),0)+1),"")="",IFERROR(INDEX(Raw_Financials!$L$2:$L$76, MATCH(1, (Raw_Financials!$A$2:$A$76="Linde India")*(Raw_Financials!$B$2:$B$76="2021"),0)+1),"")=""),"",(IFERROR(INDEX(Raw_Financials!$M$2:$M$76, MATCH(1, (Raw_Financials!$A$2:$A$76="Linde India")*(Raw_Financials!$B$2:$B$76="2021"),0)+1),""))/(IFERROR(INDEX(Raw_Financials!$L$2:$L$76, MATCH(1, (Raw_Financials!$A$2:$A$76="Linde India")*(Raw_Financials!$B$2:$B$76="2021"),0)+1),"")))</f>
        <v>3.1979586224745633</v>
      </c>
      <c r="I13" cm="1">
        <f t="array" ref="I13">IF(OR(IFERROR(INDEX(Raw_Financials!$N$2:$N$76, MATCH(1, (Raw_Financials!$A$2:$A$76="Linde India")*(Raw_Financials!$B$2:$B$76="2021"),0)+1),"")="",IFERROR(INDEX(Raw_Financials!$J$2:$J$76, MATCH(1, (Raw_Financials!$A$2:$A$76="Linde India")*(Raw_Financials!$B$2:$B$76="2021"),0)+1),"")=""),"",(IFERROR(INDEX(Raw_Financials!$N$2:$N$76, MATCH(1, (Raw_Financials!$A$2:$A$76="Linde India")*(Raw_Financials!$B$2:$B$76="2021"),0)+1),""))-(IFERROR(INDEX(Raw_Financials!$J$2:$J$76, MATCH(1, (Raw_Financials!$A$2:$A$76="Linde India")*(Raw_Financials!$B$2:$B$76="2021"),0)+1),"")))</f>
        <v>24378.379999999997</v>
      </c>
      <c r="J13" cm="1">
        <f t="array" ref="J13">IF(OR(IFERROR(INDEX(Raw_Financials!$M$2:$M$76, MATCH(1, (Raw_Financials!$A$2:$A$76="Linde India")*(Raw_Financials!$B$2:$B$76="2021"),0)+1),"")="",IFERROR(INDEX(Raw_Financials!$C$2:$C$76, MATCH(1, (Raw_Financials!$A$2:$A$76="Linde India")*(Raw_Financials!$B$2:$B$76="2021"),0)+1),"")=""),"",(IFERROR(INDEX(Raw_Financials!$M$2:$M$76, MATCH(1, (Raw_Financials!$A$2:$A$76="Linde India")*(Raw_Financials!$B$2:$B$76="2021"),0)+1),""))/(IFERROR(INDEX(Raw_Financials!$C$2:$C$76, MATCH(1, (Raw_Financials!$A$2:$A$76="Linde India")*(Raw_Financials!$B$2:$B$76="2021"),0)+1),"")))</f>
        <v>0.28207190300313983</v>
      </c>
      <c r="K13" cm="1">
        <f t="array" ref="K13">IF(OR(IFERROR(INDEX(Raw_ESG!$C$2:$C$76, MATCH(1, (Raw_ESG!$A$2:$A$76="Linde India")*(Raw_ESG!$B$2:$B$76="2021"),0)+1),"")="",IFERROR(INDEX(Raw_Financials!$J$2:$J$76, MATCH(1, (Raw_Financials!$A$2:$A$76="Linde India")*(Raw_Financials!$B$2:$B$76="2021"),0)+1),"")=""),"",(IFERROR(INDEX(Raw_ESG!$C$2:$C$76, MATCH(1, (Raw_ESG!$A$2:$A$76="Linde India")*(Raw_ESG!$B$2:$B$76="2021"),0)+1),""))/(IFERROR(INDEX(Raw_Financials!$J$2:$J$76, MATCH(1, (Raw_Financials!$A$2:$A$76="Linde India")*(Raw_Financials!$B$2:$B$76="2021"),0)+1),"")))</f>
        <v>0.63136881030249214</v>
      </c>
      <c r="L13" cm="1">
        <f t="array" ref="L13">IF(OR(IFERROR(INDEX(Raw_ESG!$D$2:$D$76, MATCH(1, (Raw_ESG!$A$2:$A$76="Linde India")*(Raw_ESG!$B$2:$B$76="2021"),0)+1),"")="",IFERROR(INDEX(Raw_Financials!$E$2:$E$76, MATCH(1, (Raw_Financials!$A$2:$A$76="Linde India")*(Raw_Financials!$B$2:$B$76="2021"),0)+1),"")=""),"",(IFERROR(INDEX(Raw_ESG!$D$2:$D$76, MATCH(1, (Raw_ESG!$A$2:$A$76="Linde India")*(Raw_ESG!$B$2:$B$76="2021"),0)+1),""))/(IFERROR(INDEX(Raw_Financials!$E$2:$E$76, MATCH(1, (Raw_Financials!$A$2:$A$76="Linde India")*(Raw_Financials!$B$2:$B$76="2021"),0)+1),"")))</f>
        <v>0.10646101964193097</v>
      </c>
      <c r="M13" cm="1">
        <f t="array" ref="M13">IF(OR(IFERROR(INDEX(Raw_ESG!$E$2:$E$76, MATCH(1, (Raw_ESG!$A$2:$A$76="Linde India")*(Raw_ESG!$B$2:$B$76="2021"),0)+1),"")="",IFERROR(INDEX(Raw_ESG!$F$2:$F$76, MATCH(1, (Raw_ESG!$A$2:$A$76="Linde India")*(Raw_ESG!$B$2:$B$76="2021"),0)+1),"")=""),"",(IFERROR(INDEX(Raw_ESG!$E$2:$E$76, MATCH(1, (Raw_ESG!$A$2:$A$76="Linde India")*(Raw_ESG!$B$2:$B$76="2021"),0)+1),""))+(IFERROR(INDEX(Raw_ESG!$F$2:$F$76, MATCH(1, (Raw_ESG!$A$2:$A$76="Linde India")*(Raw_ESG!$B$2:$B$76="2021"),0)+1),"")))</f>
        <v>139568.76999999999</v>
      </c>
      <c r="N13" cm="1">
        <f t="array" ref="N13">IFERROR(INDEX(Raw_ESG!$G$2:$G$76, MATCH(1, (Raw_ESG!$A$2:$A$76="Linde India")*(Raw_ESG!$B$2:$B$76="2021"),0)+1),"")</f>
        <v>41.27</v>
      </c>
    </row>
    <row r="14" spans="1:14" x14ac:dyDescent="0.35">
      <c r="A14" t="s">
        <v>4</v>
      </c>
      <c r="B14" t="s">
        <v>35</v>
      </c>
      <c r="C14" cm="1">
        <f t="array" ref="C14">IF(OR(IFERROR(INDEX(Raw_Financials!$E$2:$E$76, MATCH(1, (Raw_Financials!$A$2:$A$76="Linde India")*(Raw_Financials!$B$2:$B$76="2022"),0)+1),"")="",IFERROR(INDEX(Raw_Financials!$D$2:$D$76, MATCH(1, (Raw_Financials!$A$2:$A$76="Linde India")*(Raw_Financials!$B$2:$B$76="2022"),0)+1),"")=""),"",(IFERROR(INDEX(Raw_Financials!$D$2:$D$76, MATCH(1, (Raw_Financials!$A$2:$A$76="Linde India")*(Raw_Financials!$B$2:$B$76="2022"),0)+1),""))/(IFERROR(INDEX(Raw_Financials!$E$2:$E$76, MATCH(1, (Raw_Financials!$A$2:$A$76="Linde India")*(Raw_Financials!$B$2:$B$76="2022"),0)+1),"")))</f>
        <v>4.6799694264170223E-2</v>
      </c>
      <c r="D14" cm="1">
        <f t="array" ref="D14">IF(OR(IFERROR(INDEX(Raw_Financials!$E$2:$E$76, MATCH(1, (Raw_Financials!$A$2:$A$76="Linde India")*(Raw_Financials!$B$2:$B$76="2022"),0)+1),"")="",IFERROR(INDEX(Raw_Financials!$C$2:$C$76, MATCH(1, (Raw_Financials!$A$2:$A$76="Linde India")*(Raw_Financials!$B$2:$B$76="2022"),0)+1),"")=""),"",(IFERROR(INDEX(Raw_Financials!$C$2:$C$76, MATCH(1, (Raw_Financials!$A$2:$A$76="Linde India")*(Raw_Financials!$B$2:$B$76="2022"),0)+1),""))/(IFERROR(INDEX(Raw_Financials!$E$2:$E$76, MATCH(1, (Raw_Financials!$A$2:$A$76="Linde India")*(Raw_Financials!$B$2:$B$76="2022"),0)+1),"")))</f>
        <v>0.20261097024362765</v>
      </c>
      <c r="E14" cm="1">
        <f t="array" ref="E14">IF(OR(IFERROR(INDEX(Raw_Financials!$G$2:$G$76, MATCH(1, (Raw_Financials!$A$2:$A$76="Linde India")*(Raw_Financials!$B$2:$B$76="2022"),0)+1),"")="",IFERROR(INDEX(Raw_Financials!$H$2:$H$76, MATCH(1, (Raw_Financials!$A$2:$A$76="Linde India")*(Raw_Financials!$B$2:$B$76="2022"),0)+1),"")=""),"",(IFERROR(INDEX(Raw_Financials!$G$2:$G$76, MATCH(1, (Raw_Financials!$A$2:$A$76="Linde India")*(Raw_Financials!$B$2:$B$76="2022"),0)+1),""))-(IFERROR(INDEX(Raw_Financials!$H$2:$H$76, MATCH(1, (Raw_Financials!$A$2:$A$76="Linde India")*(Raw_Financials!$B$2:$B$76="2022"),0)+1),"")))</f>
        <v>16934.07</v>
      </c>
      <c r="F14" cm="1">
        <f t="array" ref="F14">IF(OR(IFERROR(INDEX(Raw_Financials!$C$2:$C$76, MATCH(1, (Raw_Financials!$A$2:$A$76="Linde India")*(Raw_Financials!$B$2:$B$76="2022"),0)+1),"")="",IF(OR(IFERROR(INDEX(Raw_Financials!$G$2:$G$76, MATCH(1, (Raw_Financials!$A$2:$A$76="Linde India")*(Raw_Financials!$B$2:$B$76="2022"),0)+1),"")="",IFERROR(INDEX(Raw_Financials!$H$2:$H$76, MATCH(1, (Raw_Financials!$A$2:$A$76="Linde India")*(Raw_Financials!$B$2:$B$76="2022"),0)+1),"")=""),"",(IFERROR(INDEX(Raw_Financials!$G$2:$G$76, MATCH(1, (Raw_Financials!$A$2:$A$76="Linde India")*(Raw_Financials!$B$2:$B$76="2022"),0)+1),""))-(IFERROR(INDEX(Raw_Financials!$H$2:$H$76, MATCH(1, (Raw_Financials!$A$2:$A$76="Linde India")*(Raw_Financials!$B$2:$B$76="2022"),0)+1),"")))=""),"",(IFERROR(INDEX(Raw_Financials!$C$2:$C$76, MATCH(1, (Raw_Financials!$A$2:$A$76="Linde India")*(Raw_Financials!$B$2:$B$76="2022"),0)+1),""))/(IF(OR(IFERROR(INDEX(Raw_Financials!$G$2:$G$76, MATCH(1, (Raw_Financials!$A$2:$A$76="Linde India")*(Raw_Financials!$B$2:$B$76="2022"),0)+1),"")="",IFERROR(INDEX(Raw_Financials!$H$2:$H$76, MATCH(1, (Raw_Financials!$A$2:$A$76="Linde India")*(Raw_Financials!$B$2:$B$76="2022"),0)+1),"")=""),"",(IFERROR(INDEX(Raw_Financials!$G$2:$G$76, MATCH(1, (Raw_Financials!$A$2:$A$76="Linde India")*(Raw_Financials!$B$2:$B$76="2022"),0)+1),""))-(IFERROR(INDEX(Raw_Financials!$H$2:$H$76, MATCH(1, (Raw_Financials!$A$2:$A$76="Linde India")*(Raw_Financials!$B$2:$B$76="2022"),0)+1),"")))))</f>
        <v>2.5073995796639559</v>
      </c>
      <c r="G14" cm="1">
        <f t="array" ref="G14">IF(OR(IFERROR(INDEX(Raw_Financials!$O$2:$O$76, MATCH(1, (Raw_Financials!$A$2:$A$76="Linde India")*(Raw_Financials!$B$2:$B$76="2022"),0)+1),"")="",IFERROR(INDEX(Raw_Financials!$M$2:$M$76, MATCH(1, (Raw_Financials!$A$2:$A$76="Linde India")*(Raw_Financials!$B$2:$B$76="2022"),0)+1),"")=""),"",(IFERROR(INDEX(Raw_Financials!$O$2:$O$76, MATCH(1, (Raw_Financials!$A$2:$A$76="Linde India")*(Raw_Financials!$B$2:$B$76="2022"),0)+1),""))/(IFERROR(INDEX(Raw_Financials!$M$2:$M$76, MATCH(1, (Raw_Financials!$A$2:$A$76="Linde India")*(Raw_Financials!$B$2:$B$76="2022"),0)+1),"")))</f>
        <v>5.7124344801717211</v>
      </c>
      <c r="H14" cm="1">
        <f t="array" ref="H14">IF(OR(IFERROR(INDEX(Raw_Financials!$M$2:$M$76, MATCH(1, (Raw_Financials!$A$2:$A$76="Linde India")*(Raw_Financials!$B$2:$B$76="2022"),0)+1),"")="",IFERROR(INDEX(Raw_Financials!$L$2:$L$76, MATCH(1, (Raw_Financials!$A$2:$A$76="Linde India")*(Raw_Financials!$B$2:$B$76="2022"),0)+1),"")=""),"",(IFERROR(INDEX(Raw_Financials!$M$2:$M$76, MATCH(1, (Raw_Financials!$A$2:$A$76="Linde India")*(Raw_Financials!$B$2:$B$76="2022"),0)+1),""))/(IFERROR(INDEX(Raw_Financials!$L$2:$L$76, MATCH(1, (Raw_Financials!$A$2:$A$76="Linde India")*(Raw_Financials!$B$2:$B$76="2022"),0)+1),"")))</f>
        <v>1.8408647632475621</v>
      </c>
      <c r="I14" cm="1">
        <f t="array" ref="I14">IF(OR(IFERROR(INDEX(Raw_Financials!$N$2:$N$76, MATCH(1, (Raw_Financials!$A$2:$A$76="Linde India")*(Raw_Financials!$B$2:$B$76="2022"),0)+1),"")="",IFERROR(INDEX(Raw_Financials!$J$2:$J$76, MATCH(1, (Raw_Financials!$A$2:$A$76="Linde India")*(Raw_Financials!$B$2:$B$76="2022"),0)+1),"")=""),"",(IFERROR(INDEX(Raw_Financials!$N$2:$N$76, MATCH(1, (Raw_Financials!$A$2:$A$76="Linde India")*(Raw_Financials!$B$2:$B$76="2022"),0)+1),""))-(IFERROR(INDEX(Raw_Financials!$J$2:$J$76, MATCH(1, (Raw_Financials!$A$2:$A$76="Linde India")*(Raw_Financials!$B$2:$B$76="2022"),0)+1),"")))</f>
        <v>8420.5</v>
      </c>
      <c r="J14" cm="1">
        <f t="array" ref="J14">IF(OR(IFERROR(INDEX(Raw_Financials!$M$2:$M$76, MATCH(1, (Raw_Financials!$A$2:$A$76="Linde India")*(Raw_Financials!$B$2:$B$76="2022"),0)+1),"")="",IFERROR(INDEX(Raw_Financials!$C$2:$C$76, MATCH(1, (Raw_Financials!$A$2:$A$76="Linde India")*(Raw_Financials!$B$2:$B$76="2022"),0)+1),"")=""),"",(IFERROR(INDEX(Raw_Financials!$M$2:$M$76, MATCH(1, (Raw_Financials!$A$2:$A$76="Linde India")*(Raw_Financials!$B$2:$B$76="2022"),0)+1),""))/(IFERROR(INDEX(Raw_Financials!$C$2:$C$76, MATCH(1, (Raw_Financials!$A$2:$A$76="Linde India")*(Raw_Financials!$B$2:$B$76="2022"),0)+1),"")))</f>
        <v>0.23984514541521904</v>
      </c>
      <c r="K14" cm="1">
        <f t="array" ref="K14">IF(OR(IFERROR(INDEX(Raw_ESG!$C$2:$C$76, MATCH(1, (Raw_ESG!$A$2:$A$76="Linde India")*(Raw_ESG!$B$2:$B$76="2022"),0)+1),"")="",IFERROR(INDEX(Raw_Financials!$J$2:$J$76, MATCH(1, (Raw_Financials!$A$2:$A$76="Linde India")*(Raw_Financials!$B$2:$B$76="2022"),0)+1),"")=""),"",(IFERROR(INDEX(Raw_ESG!$C$2:$C$76, MATCH(1, (Raw_ESG!$A$2:$A$76="Linde India")*(Raw_ESG!$B$2:$B$76="2022"),0)+1),""))/(IFERROR(INDEX(Raw_Financials!$J$2:$J$76, MATCH(1, (Raw_Financials!$A$2:$A$76="Linde India")*(Raw_Financials!$B$2:$B$76="2022"),0)+1),"")))</f>
        <v>0.53832283651411894</v>
      </c>
      <c r="L14" cm="1">
        <f t="array" ref="L14">IF(OR(IFERROR(INDEX(Raw_ESG!$D$2:$D$76, MATCH(1, (Raw_ESG!$A$2:$A$76="Linde India")*(Raw_ESG!$B$2:$B$76="2022"),0)+1),"")="",IFERROR(INDEX(Raw_Financials!$E$2:$E$76, MATCH(1, (Raw_Financials!$A$2:$A$76="Linde India")*(Raw_Financials!$B$2:$B$76="2022"),0)+1),"")=""),"",(IFERROR(INDEX(Raw_ESG!$D$2:$D$76, MATCH(1, (Raw_ESG!$A$2:$A$76="Linde India")*(Raw_ESG!$B$2:$B$76="2022"),0)+1),""))/(IFERROR(INDEX(Raw_Financials!$E$2:$E$76, MATCH(1, (Raw_Financials!$A$2:$A$76="Linde India")*(Raw_Financials!$B$2:$B$76="2022"),0)+1),"")))</f>
        <v>0.13238873915654664</v>
      </c>
      <c r="M14" cm="1">
        <f t="array" ref="M14">IF(OR(IFERROR(INDEX(Raw_ESG!$E$2:$E$76, MATCH(1, (Raw_ESG!$A$2:$A$76="Linde India")*(Raw_ESG!$B$2:$B$76="2022"),0)+1),"")="",IFERROR(INDEX(Raw_ESG!$F$2:$F$76, MATCH(1, (Raw_ESG!$A$2:$A$76="Linde India")*(Raw_ESG!$B$2:$B$76="2022"),0)+1),"")=""),"",(IFERROR(INDEX(Raw_ESG!$E$2:$E$76, MATCH(1, (Raw_ESG!$A$2:$A$76="Linde India")*(Raw_ESG!$B$2:$B$76="2022"),0)+1),""))+(IFERROR(INDEX(Raw_ESG!$F$2:$F$76, MATCH(1, (Raw_ESG!$A$2:$A$76="Linde India")*(Raw_ESG!$B$2:$B$76="2022"),0)+1),"")))</f>
        <v>160851.08000000002</v>
      </c>
      <c r="N14" cm="1">
        <f t="array" ref="N14">IFERROR(INDEX(Raw_ESG!$G$2:$G$76, MATCH(1, (Raw_ESG!$A$2:$A$76="Linde India")*(Raw_ESG!$B$2:$B$76="2022"),0)+1),"")</f>
        <v>88.13</v>
      </c>
    </row>
    <row r="15" spans="1:14" x14ac:dyDescent="0.35">
      <c r="A15" t="s">
        <v>4</v>
      </c>
      <c r="B15" t="s">
        <v>36</v>
      </c>
      <c r="C15" cm="1">
        <f t="array" ref="C15">IF(OR(IFERROR(INDEX(Raw_Financials!$E$2:$E$76, MATCH(1, (Raw_Financials!$A$2:$A$76="Linde India")*(Raw_Financials!$B$2:$B$76="2023"),0)+1),"")="",IFERROR(INDEX(Raw_Financials!$D$2:$D$76, MATCH(1, (Raw_Financials!$A$2:$A$76="Linde India")*(Raw_Financials!$B$2:$B$76="2023"),0)+1),"")=""),"",(IFERROR(INDEX(Raw_Financials!$D$2:$D$76, MATCH(1, (Raw_Financials!$A$2:$A$76="Linde India")*(Raw_Financials!$B$2:$B$76="2023"),0)+1),""))/(IFERROR(INDEX(Raw_Financials!$E$2:$E$76, MATCH(1, (Raw_Financials!$A$2:$A$76="Linde India")*(Raw_Financials!$B$2:$B$76="2023"),0)+1),"")))</f>
        <v>5.5182179447121456E-2</v>
      </c>
      <c r="D15" cm="1">
        <f t="array" ref="D15">IF(OR(IFERROR(INDEX(Raw_Financials!$E$2:$E$76, MATCH(1, (Raw_Financials!$A$2:$A$76="Linde India")*(Raw_Financials!$B$2:$B$76="2023"),0)+1),"")="",IFERROR(INDEX(Raw_Financials!$C$2:$C$76, MATCH(1, (Raw_Financials!$A$2:$A$76="Linde India")*(Raw_Financials!$B$2:$B$76="2023"),0)+1),"")=""),"",(IFERROR(INDEX(Raw_Financials!$C$2:$C$76, MATCH(1, (Raw_Financials!$A$2:$A$76="Linde India")*(Raw_Financials!$B$2:$B$76="2023"),0)+1),""))/(IFERROR(INDEX(Raw_Financials!$E$2:$E$76, MATCH(1, (Raw_Financials!$A$2:$A$76="Linde India")*(Raw_Financials!$B$2:$B$76="2023"),0)+1),"")))</f>
        <v>0.30346327037963489</v>
      </c>
      <c r="E15" cm="1">
        <f t="array" ref="E15">IF(OR(IFERROR(INDEX(Raw_Financials!$G$2:$G$76, MATCH(1, (Raw_Financials!$A$2:$A$76="Linde India")*(Raw_Financials!$B$2:$B$76="2023"),0)+1),"")="",IFERROR(INDEX(Raw_Financials!$H$2:$H$76, MATCH(1, (Raw_Financials!$A$2:$A$76="Linde India")*(Raw_Financials!$B$2:$B$76="2023"),0)+1),"")=""),"",(IFERROR(INDEX(Raw_Financials!$G$2:$G$76, MATCH(1, (Raw_Financials!$A$2:$A$76="Linde India")*(Raw_Financials!$B$2:$B$76="2023"),0)+1),""))-(IFERROR(INDEX(Raw_Financials!$H$2:$H$76, MATCH(1, (Raw_Financials!$A$2:$A$76="Linde India")*(Raw_Financials!$B$2:$B$76="2023"),0)+1),"")))</f>
        <v>26369.699999999997</v>
      </c>
      <c r="F15" cm="1">
        <f t="array" ref="F15">IF(OR(IFERROR(INDEX(Raw_Financials!$C$2:$C$76, MATCH(1, (Raw_Financials!$A$2:$A$76="Linde India")*(Raw_Financials!$B$2:$B$76="2023"),0)+1),"")="",IF(OR(IFERROR(INDEX(Raw_Financials!$G$2:$G$76, MATCH(1, (Raw_Financials!$A$2:$A$76="Linde India")*(Raw_Financials!$B$2:$B$76="2023"),0)+1),"")="",IFERROR(INDEX(Raw_Financials!$H$2:$H$76, MATCH(1, (Raw_Financials!$A$2:$A$76="Linde India")*(Raw_Financials!$B$2:$B$76="2023"),0)+1),"")=""),"",(IFERROR(INDEX(Raw_Financials!$G$2:$G$76, MATCH(1, (Raw_Financials!$A$2:$A$76="Linde India")*(Raw_Financials!$B$2:$B$76="2023"),0)+1),""))-(IFERROR(INDEX(Raw_Financials!$H$2:$H$76, MATCH(1, (Raw_Financials!$A$2:$A$76="Linde India")*(Raw_Financials!$B$2:$B$76="2023"),0)+1),"")))=""),"",(IFERROR(INDEX(Raw_Financials!$C$2:$C$76, MATCH(1, (Raw_Financials!$A$2:$A$76="Linde India")*(Raw_Financials!$B$2:$B$76="2023"),0)+1),""))/(IF(OR(IFERROR(INDEX(Raw_Financials!$G$2:$G$76, MATCH(1, (Raw_Financials!$A$2:$A$76="Linde India")*(Raw_Financials!$B$2:$B$76="2023"),0)+1),"")="",IFERROR(INDEX(Raw_Financials!$H$2:$H$76, MATCH(1, (Raw_Financials!$A$2:$A$76="Linde India")*(Raw_Financials!$B$2:$B$76="2023"),0)+1),"")=""),"",(IFERROR(INDEX(Raw_Financials!$G$2:$G$76, MATCH(1, (Raw_Financials!$A$2:$A$76="Linde India")*(Raw_Financials!$B$2:$B$76="2023"),0)+1),""))-(IFERROR(INDEX(Raw_Financials!$H$2:$H$76, MATCH(1, (Raw_Financials!$A$2:$A$76="Linde India")*(Raw_Financials!$B$2:$B$76="2023"),0)+1),"")))))</f>
        <v>1.9885205368282539</v>
      </c>
      <c r="G15" cm="1">
        <f t="array" ref="G15">IF(OR(IFERROR(INDEX(Raw_Financials!$O$2:$O$76, MATCH(1, (Raw_Financials!$A$2:$A$76="Linde India")*(Raw_Financials!$B$2:$B$76="2023"),0)+1),"")="",IFERROR(INDEX(Raw_Financials!$M$2:$M$76, MATCH(1, (Raw_Financials!$A$2:$A$76="Linde India")*(Raw_Financials!$B$2:$B$76="2023"),0)+1),"")=""),"",(IFERROR(INDEX(Raw_Financials!$O$2:$O$76, MATCH(1, (Raw_Financials!$A$2:$A$76="Linde India")*(Raw_Financials!$B$2:$B$76="2023"),0)+1),""))/(IFERROR(INDEX(Raw_Financials!$M$2:$M$76, MATCH(1, (Raw_Financials!$A$2:$A$76="Linde India")*(Raw_Financials!$B$2:$B$76="2023"),0)+1),"")))</f>
        <v>1.2821098242676958</v>
      </c>
      <c r="H15" cm="1">
        <f t="array" ref="H15">IF(OR(IFERROR(INDEX(Raw_Financials!$M$2:$M$76, MATCH(1, (Raw_Financials!$A$2:$A$76="Linde India")*(Raw_Financials!$B$2:$B$76="2023"),0)+1),"")="",IFERROR(INDEX(Raw_Financials!$L$2:$L$76, MATCH(1, (Raw_Financials!$A$2:$A$76="Linde India")*(Raw_Financials!$B$2:$B$76="2023"),0)+1),"")=""),"",(IFERROR(INDEX(Raw_Financials!$M$2:$M$76, MATCH(1, (Raw_Financials!$A$2:$A$76="Linde India")*(Raw_Financials!$B$2:$B$76="2023"),0)+1),""))/(IFERROR(INDEX(Raw_Financials!$L$2:$L$76, MATCH(1, (Raw_Financials!$A$2:$A$76="Linde India")*(Raw_Financials!$B$2:$B$76="2023"),0)+1),"")))</f>
        <v>3.4319371727748691</v>
      </c>
      <c r="I15" cm="1">
        <f t="array" ref="I15">IF(OR(IFERROR(INDEX(Raw_Financials!$N$2:$N$76, MATCH(1, (Raw_Financials!$A$2:$A$76="Linde India")*(Raw_Financials!$B$2:$B$76="2023"),0)+1),"")="",IFERROR(INDEX(Raw_Financials!$J$2:$J$76, MATCH(1, (Raw_Financials!$A$2:$A$76="Linde India")*(Raw_Financials!$B$2:$B$76="2023"),0)+1),"")=""),"",(IFERROR(INDEX(Raw_Financials!$N$2:$N$76, MATCH(1, (Raw_Financials!$A$2:$A$76="Linde India")*(Raw_Financials!$B$2:$B$76="2023"),0)+1),""))-(IFERROR(INDEX(Raw_Financials!$J$2:$J$76, MATCH(1, (Raw_Financials!$A$2:$A$76="Linde India")*(Raw_Financials!$B$2:$B$76="2023"),0)+1),"")))</f>
        <v>14242.810000000001</v>
      </c>
      <c r="J15" cm="1">
        <f t="array" ref="J15">IF(OR(IFERROR(INDEX(Raw_Financials!$M$2:$M$76, MATCH(1, (Raw_Financials!$A$2:$A$76="Linde India")*(Raw_Financials!$B$2:$B$76="2023"),0)+1),"")="",IFERROR(INDEX(Raw_Financials!$C$2:$C$76, MATCH(1, (Raw_Financials!$A$2:$A$76="Linde India")*(Raw_Financials!$B$2:$B$76="2023"),0)+1),"")=""),"",(IFERROR(INDEX(Raw_Financials!$M$2:$M$76, MATCH(1, (Raw_Financials!$A$2:$A$76="Linde India")*(Raw_Financials!$B$2:$B$76="2023"),0)+1),""))/(IFERROR(INDEX(Raw_Financials!$C$2:$C$76, MATCH(1, (Raw_Financials!$A$2:$A$76="Linde India")*(Raw_Financials!$B$2:$B$76="2023"),0)+1),"")))</f>
        <v>0.44152786913132763</v>
      </c>
      <c r="K15" cm="1">
        <f t="array" ref="K15">IF(OR(IFERROR(INDEX(Raw_ESG!$C$2:$C$76, MATCH(1, (Raw_ESG!$A$2:$A$76="Linde India")*(Raw_ESG!$B$2:$B$76="2023"),0)+1),"")="",IFERROR(INDEX(Raw_Financials!$J$2:$J$76, MATCH(1, (Raw_Financials!$A$2:$A$76="Linde India")*(Raw_Financials!$B$2:$B$76="2023"),0)+1),"")=""),"",(IFERROR(INDEX(Raw_ESG!$C$2:$C$76, MATCH(1, (Raw_ESG!$A$2:$A$76="Linde India")*(Raw_ESG!$B$2:$B$76="2023"),0)+1),""))/(IFERROR(INDEX(Raw_Financials!$J$2:$J$76, MATCH(1, (Raw_Financials!$A$2:$A$76="Linde India")*(Raw_Financials!$B$2:$B$76="2023"),0)+1),"")))</f>
        <v>0.27349736179402817</v>
      </c>
      <c r="L15" cm="1">
        <f t="array" ref="L15">IF(OR(IFERROR(INDEX(Raw_ESG!$D$2:$D$76, MATCH(1, (Raw_ESG!$A$2:$A$76="Linde India")*(Raw_ESG!$B$2:$B$76="2023"),0)+1),"")="",IFERROR(INDEX(Raw_Financials!$E$2:$E$76, MATCH(1, (Raw_Financials!$A$2:$A$76="Linde India")*(Raw_Financials!$B$2:$B$76="2023"),0)+1),"")=""),"",(IFERROR(INDEX(Raw_ESG!$D$2:$D$76, MATCH(1, (Raw_ESG!$A$2:$A$76="Linde India")*(Raw_ESG!$B$2:$B$76="2023"),0)+1),""))/(IFERROR(INDEX(Raw_Financials!$E$2:$E$76, MATCH(1, (Raw_Financials!$A$2:$A$76="Linde India")*(Raw_Financials!$B$2:$B$76="2023"),0)+1),"")))</f>
        <v>0.11252866777523017</v>
      </c>
      <c r="M15" cm="1">
        <f t="array" ref="M15">IF(OR(IFERROR(INDEX(Raw_ESG!$E$2:$E$76, MATCH(1, (Raw_ESG!$A$2:$A$76="Linde India")*(Raw_ESG!$B$2:$B$76="2023"),0)+1),"")="",IFERROR(INDEX(Raw_ESG!$F$2:$F$76, MATCH(1, (Raw_ESG!$A$2:$A$76="Linde India")*(Raw_ESG!$B$2:$B$76="2023"),0)+1),"")=""),"",(IFERROR(INDEX(Raw_ESG!$E$2:$E$76, MATCH(1, (Raw_ESG!$A$2:$A$76="Linde India")*(Raw_ESG!$B$2:$B$76="2023"),0)+1),""))+(IFERROR(INDEX(Raw_ESG!$F$2:$F$76, MATCH(1, (Raw_ESG!$A$2:$A$76="Linde India")*(Raw_ESG!$B$2:$B$76="2023"),0)+1),"")))</f>
        <v>92884.510000000009</v>
      </c>
      <c r="N15" cm="1">
        <f t="array" ref="N15">IFERROR(INDEX(Raw_ESG!$G$2:$G$76, MATCH(1, (Raw_ESG!$A$2:$A$76="Linde India")*(Raw_ESG!$B$2:$B$76="2023"),0)+1),"")</f>
        <v>81.8</v>
      </c>
    </row>
    <row r="16" spans="1:14" x14ac:dyDescent="0.35">
      <c r="A16" t="s">
        <v>4</v>
      </c>
      <c r="B16" t="s">
        <v>37</v>
      </c>
      <c r="C16" cm="1">
        <f t="array" ref="C16">IF(OR(IFERROR(INDEX(Raw_Financials!$E$2:$E$76, MATCH(1, (Raw_Financials!$A$2:$A$76="Linde India")*(Raw_Financials!$B$2:$B$76="2024"),0)+1),"")="",IFERROR(INDEX(Raw_Financials!$D$2:$D$76, MATCH(1, (Raw_Financials!$A$2:$A$76="Linde India")*(Raw_Financials!$B$2:$B$76="2024"),0)+1),"")=""),"",(IFERROR(INDEX(Raw_Financials!$D$2:$D$76, MATCH(1, (Raw_Financials!$A$2:$A$76="Linde India")*(Raw_Financials!$B$2:$B$76="2024"),0)+1),""))/(IFERROR(INDEX(Raw_Financials!$E$2:$E$76, MATCH(1, (Raw_Financials!$A$2:$A$76="Linde India")*(Raw_Financials!$B$2:$B$76="2024"),0)+1),"")))</f>
        <v>8.7964094411167842E-2</v>
      </c>
      <c r="D16" cm="1">
        <f t="array" ref="D16">IF(OR(IFERROR(INDEX(Raw_Financials!$E$2:$E$76, MATCH(1, (Raw_Financials!$A$2:$A$76="Linde India")*(Raw_Financials!$B$2:$B$76="2024"),0)+1),"")="",IFERROR(INDEX(Raw_Financials!$C$2:$C$76, MATCH(1, (Raw_Financials!$A$2:$A$76="Linde India")*(Raw_Financials!$B$2:$B$76="2024"),0)+1),"")=""),"",(IFERROR(INDEX(Raw_Financials!$C$2:$C$76, MATCH(1, (Raw_Financials!$A$2:$A$76="Linde India")*(Raw_Financials!$B$2:$B$76="2024"),0)+1),""))/(IFERROR(INDEX(Raw_Financials!$E$2:$E$76, MATCH(1, (Raw_Financials!$A$2:$A$76="Linde India")*(Raw_Financials!$B$2:$B$76="2024"),0)+1),"")))</f>
        <v>0.27768129296189009</v>
      </c>
      <c r="E16" cm="1">
        <f t="array" ref="E16">IF(OR(IFERROR(INDEX(Raw_Financials!$G$2:$G$76, MATCH(1, (Raw_Financials!$A$2:$A$76="Linde India")*(Raw_Financials!$B$2:$B$76="2024"),0)+1),"")="",IFERROR(INDEX(Raw_Financials!$H$2:$H$76, MATCH(1, (Raw_Financials!$A$2:$A$76="Linde India")*(Raw_Financials!$B$2:$B$76="2024"),0)+1),"")=""),"",(IFERROR(INDEX(Raw_Financials!$G$2:$G$76, MATCH(1, (Raw_Financials!$A$2:$A$76="Linde India")*(Raw_Financials!$B$2:$B$76="2024"),0)+1),""))-(IFERROR(INDEX(Raw_Financials!$H$2:$H$76, MATCH(1, (Raw_Financials!$A$2:$A$76="Linde India")*(Raw_Financials!$B$2:$B$76="2024"),0)+1),"")))</f>
        <v>6401.2100000000064</v>
      </c>
      <c r="F16" cm="1">
        <f t="array" ref="F16">IF(OR(IFERROR(INDEX(Raw_Financials!$C$2:$C$76, MATCH(1, (Raw_Financials!$A$2:$A$76="Linde India")*(Raw_Financials!$B$2:$B$76="2024"),0)+1),"")="",IF(OR(IFERROR(INDEX(Raw_Financials!$G$2:$G$76, MATCH(1, (Raw_Financials!$A$2:$A$76="Linde India")*(Raw_Financials!$B$2:$B$76="2024"),0)+1),"")="",IFERROR(INDEX(Raw_Financials!$H$2:$H$76, MATCH(1, (Raw_Financials!$A$2:$A$76="Linde India")*(Raw_Financials!$B$2:$B$76="2024"),0)+1),"")=""),"",(IFERROR(INDEX(Raw_Financials!$G$2:$G$76, MATCH(1, (Raw_Financials!$A$2:$A$76="Linde India")*(Raw_Financials!$B$2:$B$76="2024"),0)+1),""))-(IFERROR(INDEX(Raw_Financials!$H$2:$H$76, MATCH(1, (Raw_Financials!$A$2:$A$76="Linde India")*(Raw_Financials!$B$2:$B$76="2024"),0)+1),"")))=""),"",(IFERROR(INDEX(Raw_Financials!$C$2:$C$76, MATCH(1, (Raw_Financials!$A$2:$A$76="Linde India")*(Raw_Financials!$B$2:$B$76="2024"),0)+1),""))/(IF(OR(IFERROR(INDEX(Raw_Financials!$G$2:$G$76, MATCH(1, (Raw_Financials!$A$2:$A$76="Linde India")*(Raw_Financials!$B$2:$B$76="2024"),0)+1),"")="",IFERROR(INDEX(Raw_Financials!$H$2:$H$76, MATCH(1, (Raw_Financials!$A$2:$A$76="Linde India")*(Raw_Financials!$B$2:$B$76="2024"),0)+1),"")=""),"",(IFERROR(INDEX(Raw_Financials!$G$2:$G$76, MATCH(1, (Raw_Financials!$A$2:$A$76="Linde India")*(Raw_Financials!$B$2:$B$76="2024"),0)+1),""))-(IFERROR(INDEX(Raw_Financials!$H$2:$H$76, MATCH(1, (Raw_Financials!$A$2:$A$76="Linde India")*(Raw_Financials!$B$2:$B$76="2024"),0)+1),"")))))</f>
        <v>5.8113200473035516</v>
      </c>
      <c r="G16" cm="1">
        <f t="array" ref="G16">IF(OR(IFERROR(INDEX(Raw_Financials!$O$2:$O$76, MATCH(1, (Raw_Financials!$A$2:$A$76="Linde India")*(Raw_Financials!$B$2:$B$76="2024"),0)+1),"")="",IFERROR(INDEX(Raw_Financials!$M$2:$M$76, MATCH(1, (Raw_Financials!$A$2:$A$76="Linde India")*(Raw_Financials!$B$2:$B$76="2024"),0)+1),"")=""),"",(IFERROR(INDEX(Raw_Financials!$O$2:$O$76, MATCH(1, (Raw_Financials!$A$2:$A$76="Linde India")*(Raw_Financials!$B$2:$B$76="2024"),0)+1),""))/(IFERROR(INDEX(Raw_Financials!$M$2:$M$76, MATCH(1, (Raw_Financials!$A$2:$A$76="Linde India")*(Raw_Financials!$B$2:$B$76="2024"),0)+1),"")))</f>
        <v>1.072262960018062</v>
      </c>
      <c r="H16" cm="1">
        <f t="array" ref="H16">IF(OR(IFERROR(INDEX(Raw_Financials!$M$2:$M$76, MATCH(1, (Raw_Financials!$A$2:$A$76="Linde India")*(Raw_Financials!$B$2:$B$76="2024"),0)+1),"")="",IFERROR(INDEX(Raw_Financials!$L$2:$L$76, MATCH(1, (Raw_Financials!$A$2:$A$76="Linde India")*(Raw_Financials!$B$2:$B$76="2024"),0)+1),"")=""),"",(IFERROR(INDEX(Raw_Financials!$M$2:$M$76, MATCH(1, (Raw_Financials!$A$2:$A$76="Linde India")*(Raw_Financials!$B$2:$B$76="2024"),0)+1),""))/(IFERROR(INDEX(Raw_Financials!$L$2:$L$76, MATCH(1, (Raw_Financials!$A$2:$A$76="Linde India")*(Raw_Financials!$B$2:$B$76="2024"),0)+1),"")))</f>
        <v>7.0332459776595773</v>
      </c>
      <c r="I16" cm="1">
        <f t="array" ref="I16">IF(OR(IFERROR(INDEX(Raw_Financials!$N$2:$N$76, MATCH(1, (Raw_Financials!$A$2:$A$76="Linde India")*(Raw_Financials!$B$2:$B$76="2024"),0)+1),"")="",IFERROR(INDEX(Raw_Financials!$J$2:$J$76, MATCH(1, (Raw_Financials!$A$2:$A$76="Linde India")*(Raw_Financials!$B$2:$B$76="2024"),0)+1),"")=""),"",(IFERROR(INDEX(Raw_Financials!$N$2:$N$76, MATCH(1, (Raw_Financials!$A$2:$A$76="Linde India")*(Raw_Financials!$B$2:$B$76="2024"),0)+1),""))-(IFERROR(INDEX(Raw_Financials!$J$2:$J$76, MATCH(1, (Raw_Financials!$A$2:$A$76="Linde India")*(Raw_Financials!$B$2:$B$76="2024"),0)+1),"")))</f>
        <v>8750.27</v>
      </c>
      <c r="J16" cm="1">
        <f t="array" ref="J16">IF(OR(IFERROR(INDEX(Raw_Financials!$M$2:$M$76, MATCH(1, (Raw_Financials!$A$2:$A$76="Linde India")*(Raw_Financials!$B$2:$B$76="2024"),0)+1),"")="",IFERROR(INDEX(Raw_Financials!$C$2:$C$76, MATCH(1, (Raw_Financials!$A$2:$A$76="Linde India")*(Raw_Financials!$B$2:$B$76="2024"),0)+1),"")=""),"",(IFERROR(INDEX(Raw_Financials!$M$2:$M$76, MATCH(1, (Raw_Financials!$A$2:$A$76="Linde India")*(Raw_Financials!$B$2:$B$76="2024"),0)+1),""))/(IFERROR(INDEX(Raw_Financials!$C$2:$C$76, MATCH(1, (Raw_Financials!$A$2:$A$76="Linde India")*(Raw_Financials!$B$2:$B$76="2024"),0)+1),"")))</f>
        <v>0.65724144531052586</v>
      </c>
      <c r="K16" cm="1">
        <f t="array" ref="K16">IF(OR(IFERROR(INDEX(Raw_ESG!$C$2:$C$76, MATCH(1, (Raw_ESG!$A$2:$A$76="Linde India")*(Raw_ESG!$B$2:$B$76="2024"),0)+1),"")="",IFERROR(INDEX(Raw_Financials!$J$2:$J$76, MATCH(1, (Raw_Financials!$A$2:$A$76="Linde India")*(Raw_Financials!$B$2:$B$76="2024"),0)+1),"")=""),"",(IFERROR(INDEX(Raw_ESG!$C$2:$C$76, MATCH(1, (Raw_ESG!$A$2:$A$76="Linde India")*(Raw_ESG!$B$2:$B$76="2024"),0)+1),""))/(IFERROR(INDEX(Raw_Financials!$J$2:$J$76, MATCH(1, (Raw_Financials!$A$2:$A$76="Linde India")*(Raw_Financials!$B$2:$B$76="2024"),0)+1),"")))</f>
        <v>0.31730033503450628</v>
      </c>
      <c r="L16" cm="1">
        <f t="array" ref="L16">IF(OR(IFERROR(INDEX(Raw_ESG!$D$2:$D$76, MATCH(1, (Raw_ESG!$A$2:$A$76="Linde India")*(Raw_ESG!$B$2:$B$76="2024"),0)+1),"")="",IFERROR(INDEX(Raw_Financials!$E$2:$E$76, MATCH(1, (Raw_Financials!$A$2:$A$76="Linde India")*(Raw_Financials!$B$2:$B$76="2024"),0)+1),"")=""),"",(IFERROR(INDEX(Raw_ESG!$D$2:$D$76, MATCH(1, (Raw_ESG!$A$2:$A$76="Linde India")*(Raw_ESG!$B$2:$B$76="2024"),0)+1),""))/(IFERROR(INDEX(Raw_Financials!$E$2:$E$76, MATCH(1, (Raw_Financials!$A$2:$A$76="Linde India")*(Raw_Financials!$B$2:$B$76="2024"),0)+1),"")))</f>
        <v>9.2501111860396612E-2</v>
      </c>
      <c r="M16" cm="1">
        <f t="array" ref="M16">IF(OR(IFERROR(INDEX(Raw_ESG!$E$2:$E$76, MATCH(1, (Raw_ESG!$A$2:$A$76="Linde India")*(Raw_ESG!$B$2:$B$76="2024"),0)+1),"")="",IFERROR(INDEX(Raw_ESG!$F$2:$F$76, MATCH(1, (Raw_ESG!$A$2:$A$76="Linde India")*(Raw_ESG!$B$2:$B$76="2024"),0)+1),"")=""),"",(IFERROR(INDEX(Raw_ESG!$E$2:$E$76, MATCH(1, (Raw_ESG!$A$2:$A$76="Linde India")*(Raw_ESG!$B$2:$B$76="2024"),0)+1),""))+(IFERROR(INDEX(Raw_ESG!$F$2:$F$76, MATCH(1, (Raw_ESG!$A$2:$A$76="Linde India")*(Raw_ESG!$B$2:$B$76="2024"),0)+1),"")))</f>
        <v>205553.18</v>
      </c>
      <c r="N16" cm="1">
        <f t="array" ref="N16">IFERROR(INDEX(Raw_ESG!$G$2:$G$76, MATCH(1, (Raw_ESG!$A$2:$A$76="Linde India")*(Raw_ESG!$B$2:$B$76="2024"),0)+1),"")</f>
        <v>74.8</v>
      </c>
    </row>
    <row r="17" spans="1:14" x14ac:dyDescent="0.35">
      <c r="A17" t="s">
        <v>5</v>
      </c>
      <c r="B17" t="s">
        <v>33</v>
      </c>
      <c r="C17" cm="1">
        <f t="array" ref="C17">IF(OR(IFERROR(INDEX(Raw_Financials!$E$2:$E$76, MATCH(1, (Raw_Financials!$A$2:$A$76="SRF Ltd")*(Raw_Financials!$B$2:$B$76="2020"),0)+1),"")="",IFERROR(INDEX(Raw_Financials!$D$2:$D$76, MATCH(1, (Raw_Financials!$A$2:$A$76="SRF Ltd")*(Raw_Financials!$B$2:$B$76="2020"),0)+1),"")=""),"",(IFERROR(INDEX(Raw_Financials!$D$2:$D$76, MATCH(1, (Raw_Financials!$A$2:$A$76="SRF Ltd")*(Raw_Financials!$B$2:$B$76="2020"),0)+1),""))/(IFERROR(INDEX(Raw_Financials!$E$2:$E$76, MATCH(1, (Raw_Financials!$A$2:$A$76="SRF Ltd")*(Raw_Financials!$B$2:$B$76="2020"),0)+1),"")))</f>
        <v>5.4805864552579506E-2</v>
      </c>
      <c r="D17" cm="1">
        <f t="array" ref="D17">IF(OR(IFERROR(INDEX(Raw_Financials!$E$2:$E$76, MATCH(1, (Raw_Financials!$A$2:$A$76="SRF Ltd")*(Raw_Financials!$B$2:$B$76="2020"),0)+1),"")="",IFERROR(INDEX(Raw_Financials!$C$2:$C$76, MATCH(1, (Raw_Financials!$A$2:$A$76="SRF Ltd")*(Raw_Financials!$B$2:$B$76="2020"),0)+1),"")=""),"",(IFERROR(INDEX(Raw_Financials!$C$2:$C$76, MATCH(1, (Raw_Financials!$A$2:$A$76="SRF Ltd")*(Raw_Financials!$B$2:$B$76="2020"),0)+1),""))/(IFERROR(INDEX(Raw_Financials!$E$2:$E$76, MATCH(1, (Raw_Financials!$A$2:$A$76="SRF Ltd")*(Raw_Financials!$B$2:$B$76="2020"),0)+1),"")))</f>
        <v>0.33936316912537101</v>
      </c>
      <c r="E17" cm="1">
        <f t="array" ref="E17">IF(OR(IFERROR(INDEX(Raw_Financials!$G$2:$G$76, MATCH(1, (Raw_Financials!$A$2:$A$76="SRF Ltd")*(Raw_Financials!$B$2:$B$76="2020"),0)+1),"")="",IFERROR(INDEX(Raw_Financials!$H$2:$H$76, MATCH(1, (Raw_Financials!$A$2:$A$76="SRF Ltd")*(Raw_Financials!$B$2:$B$76="2020"),0)+1),"")=""),"",(IFERROR(INDEX(Raw_Financials!$G$2:$G$76, MATCH(1, (Raw_Financials!$A$2:$A$76="SRF Ltd")*(Raw_Financials!$B$2:$B$76="2020"),0)+1),""))-(IFERROR(INDEX(Raw_Financials!$H$2:$H$76, MATCH(1, (Raw_Financials!$A$2:$A$76="SRF Ltd")*(Raw_Financials!$B$2:$B$76="2020"),0)+1),"")))</f>
        <v>-22231.3</v>
      </c>
      <c r="F17" cm="1">
        <f t="array" ref="F17">IF(OR(IFERROR(INDEX(Raw_Financials!$C$2:$C$76, MATCH(1, (Raw_Financials!$A$2:$A$76="SRF Ltd")*(Raw_Financials!$B$2:$B$76="2020"),0)+1),"")="",IF(OR(IFERROR(INDEX(Raw_Financials!$G$2:$G$76, MATCH(1, (Raw_Financials!$A$2:$A$76="SRF Ltd")*(Raw_Financials!$B$2:$B$76="2020"),0)+1),"")="",IFERROR(INDEX(Raw_Financials!$H$2:$H$76, MATCH(1, (Raw_Financials!$A$2:$A$76="SRF Ltd")*(Raw_Financials!$B$2:$B$76="2020"),0)+1),"")=""),"",(IFERROR(INDEX(Raw_Financials!$G$2:$G$76, MATCH(1, (Raw_Financials!$A$2:$A$76="SRF Ltd")*(Raw_Financials!$B$2:$B$76="2020"),0)+1),""))-(IFERROR(INDEX(Raw_Financials!$H$2:$H$76, MATCH(1, (Raw_Financials!$A$2:$A$76="SRF Ltd")*(Raw_Financials!$B$2:$B$76="2020"),0)+1),"")))=""),"",(IFERROR(INDEX(Raw_Financials!$C$2:$C$76, MATCH(1, (Raw_Financials!$A$2:$A$76="SRF Ltd")*(Raw_Financials!$B$2:$B$76="2020"),0)+1),""))/(IF(OR(IFERROR(INDEX(Raw_Financials!$G$2:$G$76, MATCH(1, (Raw_Financials!$A$2:$A$76="SRF Ltd")*(Raw_Financials!$B$2:$B$76="2020"),0)+1),"")="",IFERROR(INDEX(Raw_Financials!$H$2:$H$76, MATCH(1, (Raw_Financials!$A$2:$A$76="SRF Ltd")*(Raw_Financials!$B$2:$B$76="2020"),0)+1),"")=""),"",(IFERROR(INDEX(Raw_Financials!$G$2:$G$76, MATCH(1, (Raw_Financials!$A$2:$A$76="SRF Ltd")*(Raw_Financials!$B$2:$B$76="2020"),0)+1),""))-(IFERROR(INDEX(Raw_Financials!$H$2:$H$76, MATCH(1, (Raw_Financials!$A$2:$A$76="SRF Ltd")*(Raw_Financials!$B$2:$B$76="2020"),0)+1),"")))))</f>
        <v>-3.2397084291067095</v>
      </c>
      <c r="G17" cm="1">
        <f t="array" ref="G17">IF(OR(IFERROR(INDEX(Raw_Financials!$O$2:$O$76, MATCH(1, (Raw_Financials!$A$2:$A$76="SRF Ltd")*(Raw_Financials!$B$2:$B$76="2020"),0)+1),"")="",IFERROR(INDEX(Raw_Financials!$M$2:$M$76, MATCH(1, (Raw_Financials!$A$2:$A$76="SRF Ltd")*(Raw_Financials!$B$2:$B$76="2020"),0)+1),"")=""),"",(IFERROR(INDEX(Raw_Financials!$O$2:$O$76, MATCH(1, (Raw_Financials!$A$2:$A$76="SRF Ltd")*(Raw_Financials!$B$2:$B$76="2020"),0)+1),""))/(IFERROR(INDEX(Raw_Financials!$M$2:$M$76, MATCH(1, (Raw_Financials!$A$2:$A$76="SRF Ltd")*(Raw_Financials!$B$2:$B$76="2020"),0)+1),"")))</f>
        <v>4.251804080564014</v>
      </c>
      <c r="H17" cm="1">
        <f t="array" ref="H17">IF(OR(IFERROR(INDEX(Raw_Financials!$M$2:$M$76, MATCH(1, (Raw_Financials!$A$2:$A$76="SRF Ltd")*(Raw_Financials!$B$2:$B$76="2020"),0)+1),"")="",IFERROR(INDEX(Raw_Financials!$L$2:$L$76, MATCH(1, (Raw_Financials!$A$2:$A$76="SRF Ltd")*(Raw_Financials!$B$2:$B$76="2020"),0)+1),"")=""),"",(IFERROR(INDEX(Raw_Financials!$M$2:$M$76, MATCH(1, (Raw_Financials!$A$2:$A$76="SRF Ltd")*(Raw_Financials!$B$2:$B$76="2020"),0)+1),""))/(IFERROR(INDEX(Raw_Financials!$L$2:$L$76, MATCH(1, (Raw_Financials!$A$2:$A$76="SRF Ltd")*(Raw_Financials!$B$2:$B$76="2020"),0)+1),"")))</f>
        <v>2.3486862624814302</v>
      </c>
      <c r="I17" cm="1">
        <f t="array" ref="I17">IF(OR(IFERROR(INDEX(Raw_Financials!$N$2:$N$76, MATCH(1, (Raw_Financials!$A$2:$A$76="SRF Ltd")*(Raw_Financials!$B$2:$B$76="2020"),0)+1),"")="",IFERROR(INDEX(Raw_Financials!$J$2:$J$76, MATCH(1, (Raw_Financials!$A$2:$A$76="SRF Ltd")*(Raw_Financials!$B$2:$B$76="2020"),0)+1),"")=""),"",(IFERROR(INDEX(Raw_Financials!$N$2:$N$76, MATCH(1, (Raw_Financials!$A$2:$A$76="SRF Ltd")*(Raw_Financials!$B$2:$B$76="2020"),0)+1),""))-(IFERROR(INDEX(Raw_Financials!$J$2:$J$76, MATCH(1, (Raw_Financials!$A$2:$A$76="SRF Ltd")*(Raw_Financials!$B$2:$B$76="2020"),0)+1),"")))</f>
        <v>7460.8899999999994</v>
      </c>
      <c r="J17" cm="1">
        <f t="array" ref="J17">IF(OR(IFERROR(INDEX(Raw_Financials!$M$2:$M$76, MATCH(1, (Raw_Financials!$A$2:$A$76="SRF Ltd")*(Raw_Financials!$B$2:$B$76="2020"),0)+1),"")="",IFERROR(INDEX(Raw_Financials!$C$2:$C$76, MATCH(1, (Raw_Financials!$A$2:$A$76="SRF Ltd")*(Raw_Financials!$B$2:$B$76="2020"),0)+1),"")=""),"",(IFERROR(INDEX(Raw_Financials!$M$2:$M$76, MATCH(1, (Raw_Financials!$A$2:$A$76="SRF Ltd")*(Raw_Financials!$B$2:$B$76="2020"),0)+1),""))/(IFERROR(INDEX(Raw_Financials!$C$2:$C$76, MATCH(1, (Raw_Financials!$A$2:$A$76="SRF Ltd")*(Raw_Financials!$B$2:$B$76="2020"),0)+1),"")))</f>
        <v>0.22061001961458665</v>
      </c>
      <c r="K17" cm="1">
        <f t="array" ref="K17">IF(OR(IFERROR(INDEX(Raw_ESG!$C$2:$C$76, MATCH(1, (Raw_ESG!$A$2:$A$76="SRF Ltd")*(Raw_ESG!$B$2:$B$76="2020"),0)+1),"")="",IFERROR(INDEX(Raw_Financials!$J$2:$J$76, MATCH(1, (Raw_Financials!$A$2:$A$76="SRF Ltd")*(Raw_Financials!$B$2:$B$76="2020"),0)+1),"")=""),"",(IFERROR(INDEX(Raw_ESG!$C$2:$C$76, MATCH(1, (Raw_ESG!$A$2:$A$76="SRF Ltd")*(Raw_ESG!$B$2:$B$76="2020"),0)+1),""))/(IFERROR(INDEX(Raw_Financials!$J$2:$J$76, MATCH(1, (Raw_Financials!$A$2:$A$76="SRF Ltd")*(Raw_Financials!$B$2:$B$76="2020"),0)+1),"")))</f>
        <v>0.27417559003310255</v>
      </c>
      <c r="L17" cm="1">
        <f t="array" ref="L17">IF(OR(IFERROR(INDEX(Raw_ESG!$D$2:$D$76, MATCH(1, (Raw_ESG!$A$2:$A$76="SRF Ltd")*(Raw_ESG!$B$2:$B$76="2020"),0)+1),"")="",IFERROR(INDEX(Raw_Financials!$E$2:$E$76, MATCH(1, (Raw_Financials!$A$2:$A$76="SRF Ltd")*(Raw_Financials!$B$2:$B$76="2020"),0)+1),"")=""),"",(IFERROR(INDEX(Raw_ESG!$D$2:$D$76, MATCH(1, (Raw_ESG!$A$2:$A$76="SRF Ltd")*(Raw_ESG!$B$2:$B$76="2020"),0)+1),""))/(IFERROR(INDEX(Raw_Financials!$E$2:$E$76, MATCH(1, (Raw_Financials!$A$2:$A$76="SRF Ltd")*(Raw_Financials!$B$2:$B$76="2020"),0)+1),"")))</f>
        <v>0.11433321808082811</v>
      </c>
      <c r="M17" cm="1">
        <f t="array" ref="M17">IF(OR(IFERROR(INDEX(Raw_ESG!$E$2:$E$76, MATCH(1, (Raw_ESG!$A$2:$A$76="SRF Ltd")*(Raw_ESG!$B$2:$B$76="2020"),0)+1),"")="",IFERROR(INDEX(Raw_ESG!$F$2:$F$76, MATCH(1, (Raw_ESG!$A$2:$A$76="SRF Ltd")*(Raw_ESG!$B$2:$B$76="2020"),0)+1),"")=""),"",(IFERROR(INDEX(Raw_ESG!$E$2:$E$76, MATCH(1, (Raw_ESG!$A$2:$A$76="SRF Ltd")*(Raw_ESG!$B$2:$B$76="2020"),0)+1),""))+(IFERROR(INDEX(Raw_ESG!$F$2:$F$76, MATCH(1, (Raw_ESG!$A$2:$A$76="SRF Ltd")*(Raw_ESG!$B$2:$B$76="2020"),0)+1),"")))</f>
        <v>154774.44</v>
      </c>
      <c r="N17" cm="1">
        <f t="array" ref="N17">IFERROR(INDEX(Raw_ESG!$G$2:$G$76, MATCH(1, (Raw_ESG!$A$2:$A$76="SRF Ltd")*(Raw_ESG!$B$2:$B$76="2020"),0)+1),"")</f>
        <v>60.45</v>
      </c>
    </row>
    <row r="18" spans="1:14" x14ac:dyDescent="0.35">
      <c r="A18" t="s">
        <v>5</v>
      </c>
      <c r="B18" t="s">
        <v>34</v>
      </c>
      <c r="C18" cm="1">
        <f t="array" ref="C18">IF(OR(IFERROR(INDEX(Raw_Financials!$E$2:$E$76, MATCH(1, (Raw_Financials!$A$2:$A$76="SRF Ltd")*(Raw_Financials!$B$2:$B$76="2021"),0)+1),"")="",IFERROR(INDEX(Raw_Financials!$D$2:$D$76, MATCH(1, (Raw_Financials!$A$2:$A$76="SRF Ltd")*(Raw_Financials!$B$2:$B$76="2021"),0)+1),"")=""),"",(IFERROR(INDEX(Raw_Financials!$D$2:$D$76, MATCH(1, (Raw_Financials!$A$2:$A$76="SRF Ltd")*(Raw_Financials!$B$2:$B$76="2021"),0)+1),""))/(IFERROR(INDEX(Raw_Financials!$E$2:$E$76, MATCH(1, (Raw_Financials!$A$2:$A$76="SRF Ltd")*(Raw_Financials!$B$2:$B$76="2021"),0)+1),"")))</f>
        <v>6.4040990728937805E-2</v>
      </c>
      <c r="D18" cm="1">
        <f t="array" ref="D18">IF(OR(IFERROR(INDEX(Raw_Financials!$E$2:$E$76, MATCH(1, (Raw_Financials!$A$2:$A$76="SRF Ltd")*(Raw_Financials!$B$2:$B$76="2021"),0)+1),"")="",IFERROR(INDEX(Raw_Financials!$C$2:$C$76, MATCH(1, (Raw_Financials!$A$2:$A$76="SRF Ltd")*(Raw_Financials!$B$2:$B$76="2021"),0)+1),"")=""),"",(IFERROR(INDEX(Raw_Financials!$C$2:$C$76, MATCH(1, (Raw_Financials!$A$2:$A$76="SRF Ltd")*(Raw_Financials!$B$2:$B$76="2021"),0)+1),""))/(IFERROR(INDEX(Raw_Financials!$E$2:$E$76, MATCH(1, (Raw_Financials!$A$2:$A$76="SRF Ltd")*(Raw_Financials!$B$2:$B$76="2021"),0)+1),"")))</f>
        <v>0.29453034252713994</v>
      </c>
      <c r="E18" cm="1">
        <f t="array" ref="E18">IF(OR(IFERROR(INDEX(Raw_Financials!$G$2:$G$76, MATCH(1, (Raw_Financials!$A$2:$A$76="SRF Ltd")*(Raw_Financials!$B$2:$B$76="2021"),0)+1),"")="",IFERROR(INDEX(Raw_Financials!$H$2:$H$76, MATCH(1, (Raw_Financials!$A$2:$A$76="SRF Ltd")*(Raw_Financials!$B$2:$B$76="2021"),0)+1),"")=""),"",(IFERROR(INDEX(Raw_Financials!$G$2:$G$76, MATCH(1, (Raw_Financials!$A$2:$A$76="SRF Ltd")*(Raw_Financials!$B$2:$B$76="2021"),0)+1),""))-(IFERROR(INDEX(Raw_Financials!$H$2:$H$76, MATCH(1, (Raw_Financials!$A$2:$A$76="SRF Ltd")*(Raw_Financials!$B$2:$B$76="2021"),0)+1),"")))</f>
        <v>-9563.16</v>
      </c>
      <c r="F18" cm="1">
        <f t="array" ref="F18">IF(OR(IFERROR(INDEX(Raw_Financials!$C$2:$C$76, MATCH(1, (Raw_Financials!$A$2:$A$76="SRF Ltd")*(Raw_Financials!$B$2:$B$76="2021"),0)+1),"")="",IF(OR(IFERROR(INDEX(Raw_Financials!$G$2:$G$76, MATCH(1, (Raw_Financials!$A$2:$A$76="SRF Ltd")*(Raw_Financials!$B$2:$B$76="2021"),0)+1),"")="",IFERROR(INDEX(Raw_Financials!$H$2:$H$76, MATCH(1, (Raw_Financials!$A$2:$A$76="SRF Ltd")*(Raw_Financials!$B$2:$B$76="2021"),0)+1),"")=""),"",(IFERROR(INDEX(Raw_Financials!$G$2:$G$76, MATCH(1, (Raw_Financials!$A$2:$A$76="SRF Ltd")*(Raw_Financials!$B$2:$B$76="2021"),0)+1),""))-(IFERROR(INDEX(Raw_Financials!$H$2:$H$76, MATCH(1, (Raw_Financials!$A$2:$A$76="SRF Ltd")*(Raw_Financials!$B$2:$B$76="2021"),0)+1),"")))=""),"",(IFERROR(INDEX(Raw_Financials!$C$2:$C$76, MATCH(1, (Raw_Financials!$A$2:$A$76="SRF Ltd")*(Raw_Financials!$B$2:$B$76="2021"),0)+1),""))/(IF(OR(IFERROR(INDEX(Raw_Financials!$G$2:$G$76, MATCH(1, (Raw_Financials!$A$2:$A$76="SRF Ltd")*(Raw_Financials!$B$2:$B$76="2021"),0)+1),"")="",IFERROR(INDEX(Raw_Financials!$H$2:$H$76, MATCH(1, (Raw_Financials!$A$2:$A$76="SRF Ltd")*(Raw_Financials!$B$2:$B$76="2021"),0)+1),"")=""),"",(IFERROR(INDEX(Raw_Financials!$G$2:$G$76, MATCH(1, (Raw_Financials!$A$2:$A$76="SRF Ltd")*(Raw_Financials!$B$2:$B$76="2021"),0)+1),""))-(IFERROR(INDEX(Raw_Financials!$H$2:$H$76, MATCH(1, (Raw_Financials!$A$2:$A$76="SRF Ltd")*(Raw_Financials!$B$2:$B$76="2021"),0)+1),"")))))</f>
        <v>-5.5253765491741218</v>
      </c>
      <c r="G18" cm="1">
        <f t="array" ref="G18">IF(OR(IFERROR(INDEX(Raw_Financials!$O$2:$O$76, MATCH(1, (Raw_Financials!$A$2:$A$76="SRF Ltd")*(Raw_Financials!$B$2:$B$76="2021"),0)+1),"")="",IFERROR(INDEX(Raw_Financials!$M$2:$M$76, MATCH(1, (Raw_Financials!$A$2:$A$76="SRF Ltd")*(Raw_Financials!$B$2:$B$76="2021"),0)+1),"")=""),"",(IFERROR(INDEX(Raw_Financials!$O$2:$O$76, MATCH(1, (Raw_Financials!$A$2:$A$76="SRF Ltd")*(Raw_Financials!$B$2:$B$76="2021"),0)+1),""))/(IFERROR(INDEX(Raw_Financials!$M$2:$M$76, MATCH(1, (Raw_Financials!$A$2:$A$76="SRF Ltd")*(Raw_Financials!$B$2:$B$76="2021"),0)+1),"")))</f>
        <v>2.4228613153863914</v>
      </c>
      <c r="H18" cm="1">
        <f t="array" ref="H18">IF(OR(IFERROR(INDEX(Raw_Financials!$M$2:$M$76, MATCH(1, (Raw_Financials!$A$2:$A$76="SRF Ltd")*(Raw_Financials!$B$2:$B$76="2021"),0)+1),"")="",IFERROR(INDEX(Raw_Financials!$L$2:$L$76, MATCH(1, (Raw_Financials!$A$2:$A$76="SRF Ltd")*(Raw_Financials!$B$2:$B$76="2021"),0)+1),"")=""),"",(IFERROR(INDEX(Raw_Financials!$M$2:$M$76, MATCH(1, (Raw_Financials!$A$2:$A$76="SRF Ltd")*(Raw_Financials!$B$2:$B$76="2021"),0)+1),""))/(IFERROR(INDEX(Raw_Financials!$L$2:$L$76, MATCH(1, (Raw_Financials!$A$2:$A$76="SRF Ltd")*(Raw_Financials!$B$2:$B$76="2021"),0)+1),"")))</f>
        <v>3.6032871246299116</v>
      </c>
      <c r="I18" cm="1">
        <f t="array" ref="I18">IF(OR(IFERROR(INDEX(Raw_Financials!$N$2:$N$76, MATCH(1, (Raw_Financials!$A$2:$A$76="SRF Ltd")*(Raw_Financials!$B$2:$B$76="2021"),0)+1),"")="",IFERROR(INDEX(Raw_Financials!$J$2:$J$76, MATCH(1, (Raw_Financials!$A$2:$A$76="SRF Ltd")*(Raw_Financials!$B$2:$B$76="2021"),0)+1),"")=""),"",(IFERROR(INDEX(Raw_Financials!$N$2:$N$76, MATCH(1, (Raw_Financials!$A$2:$A$76="SRF Ltd")*(Raw_Financials!$B$2:$B$76="2021"),0)+1),""))-(IFERROR(INDEX(Raw_Financials!$J$2:$J$76, MATCH(1, (Raw_Financials!$A$2:$A$76="SRF Ltd")*(Raw_Financials!$B$2:$B$76="2021"),0)+1),"")))</f>
        <v>23524.55</v>
      </c>
      <c r="J18" cm="1">
        <f t="array" ref="J18">IF(OR(IFERROR(INDEX(Raw_Financials!$M$2:$M$76, MATCH(1, (Raw_Financials!$A$2:$A$76="SRF Ltd")*(Raw_Financials!$B$2:$B$76="2021"),0)+1),"")="",IFERROR(INDEX(Raw_Financials!$C$2:$C$76, MATCH(1, (Raw_Financials!$A$2:$A$76="SRF Ltd")*(Raw_Financials!$B$2:$B$76="2021"),0)+1),"")=""),"",(IFERROR(INDEX(Raw_Financials!$M$2:$M$76, MATCH(1, (Raw_Financials!$A$2:$A$76="SRF Ltd")*(Raw_Financials!$B$2:$B$76="2021"),0)+1),""))/(IFERROR(INDEX(Raw_Financials!$C$2:$C$76, MATCH(1, (Raw_Financials!$A$2:$A$76="SRF Ltd")*(Raw_Financials!$B$2:$B$76="2021"),0)+1),"")))</f>
        <v>0.46963175287840325</v>
      </c>
      <c r="K18" cm="1">
        <f t="array" ref="K18">IF(OR(IFERROR(INDEX(Raw_ESG!$C$2:$C$76, MATCH(1, (Raw_ESG!$A$2:$A$76="SRF Ltd")*(Raw_ESG!$B$2:$B$76="2021"),0)+1),"")="",IFERROR(INDEX(Raw_Financials!$J$2:$J$76, MATCH(1, (Raw_Financials!$A$2:$A$76="SRF Ltd")*(Raw_Financials!$B$2:$B$76="2021"),0)+1),"")=""),"",(IFERROR(INDEX(Raw_ESG!$C$2:$C$76, MATCH(1, (Raw_ESG!$A$2:$A$76="SRF Ltd")*(Raw_ESG!$B$2:$B$76="2021"),0)+1),""))/(IFERROR(INDEX(Raw_Financials!$J$2:$J$76, MATCH(1, (Raw_Financials!$A$2:$A$76="SRF Ltd")*(Raw_Financials!$B$2:$B$76="2021"),0)+1),"")))</f>
        <v>0.80048556127008319</v>
      </c>
      <c r="L18" cm="1">
        <f t="array" ref="L18">IF(OR(IFERROR(INDEX(Raw_ESG!$D$2:$D$76, MATCH(1, (Raw_ESG!$A$2:$A$76="SRF Ltd")*(Raw_ESG!$B$2:$B$76="2021"),0)+1),"")="",IFERROR(INDEX(Raw_Financials!$E$2:$E$76, MATCH(1, (Raw_Financials!$A$2:$A$76="SRF Ltd")*(Raw_Financials!$B$2:$B$76="2021"),0)+1),"")=""),"",(IFERROR(INDEX(Raw_ESG!$D$2:$D$76, MATCH(1, (Raw_ESG!$A$2:$A$76="SRF Ltd")*(Raw_ESG!$B$2:$B$76="2021"),0)+1),""))/(IFERROR(INDEX(Raw_Financials!$E$2:$E$76, MATCH(1, (Raw_Financials!$A$2:$A$76="SRF Ltd")*(Raw_Financials!$B$2:$B$76="2021"),0)+1),"")))</f>
        <v>0.14055223930596603</v>
      </c>
      <c r="M18" cm="1">
        <f t="array" ref="M18">IF(OR(IFERROR(INDEX(Raw_ESG!$E$2:$E$76, MATCH(1, (Raw_ESG!$A$2:$A$76="SRF Ltd")*(Raw_ESG!$B$2:$B$76="2021"),0)+1),"")="",IFERROR(INDEX(Raw_ESG!$F$2:$F$76, MATCH(1, (Raw_ESG!$A$2:$A$76="SRF Ltd")*(Raw_ESG!$B$2:$B$76="2021"),0)+1),"")=""),"",(IFERROR(INDEX(Raw_ESG!$E$2:$E$76, MATCH(1, (Raw_ESG!$A$2:$A$76="SRF Ltd")*(Raw_ESG!$B$2:$B$76="2021"),0)+1),""))+(IFERROR(INDEX(Raw_ESG!$F$2:$F$76, MATCH(1, (Raw_ESG!$A$2:$A$76="SRF Ltd")*(Raw_ESG!$B$2:$B$76="2021"),0)+1),"")))</f>
        <v>139395.07</v>
      </c>
      <c r="N18" cm="1">
        <f t="array" ref="N18">IFERROR(INDEX(Raw_ESG!$G$2:$G$76, MATCH(1, (Raw_ESG!$A$2:$A$76="SRF Ltd")*(Raw_ESG!$B$2:$B$76="2021"),0)+1),"")</f>
        <v>48.66</v>
      </c>
    </row>
    <row r="19" spans="1:14" x14ac:dyDescent="0.35">
      <c r="A19" t="s">
        <v>5</v>
      </c>
      <c r="B19" t="s">
        <v>35</v>
      </c>
      <c r="C19" cm="1">
        <f t="array" ref="C19">IF(OR(IFERROR(INDEX(Raw_Financials!$E$2:$E$76, MATCH(1, (Raw_Financials!$A$2:$A$76="SRF Ltd")*(Raw_Financials!$B$2:$B$76="2022"),0)+1),"")="",IFERROR(INDEX(Raw_Financials!$D$2:$D$76, MATCH(1, (Raw_Financials!$A$2:$A$76="SRF Ltd")*(Raw_Financials!$B$2:$B$76="2022"),0)+1),"")=""),"",(IFERROR(INDEX(Raw_Financials!$D$2:$D$76, MATCH(1, (Raw_Financials!$A$2:$A$76="SRF Ltd")*(Raw_Financials!$B$2:$B$76="2022"),0)+1),""))/(IFERROR(INDEX(Raw_Financials!$E$2:$E$76, MATCH(1, (Raw_Financials!$A$2:$A$76="SRF Ltd")*(Raw_Financials!$B$2:$B$76="2022"),0)+1),"")))</f>
        <v>5.1111218938183468E-2</v>
      </c>
      <c r="D19" cm="1">
        <f t="array" ref="D19">IF(OR(IFERROR(INDEX(Raw_Financials!$E$2:$E$76, MATCH(1, (Raw_Financials!$A$2:$A$76="SRF Ltd")*(Raw_Financials!$B$2:$B$76="2022"),0)+1),"")="",IFERROR(INDEX(Raw_Financials!$C$2:$C$76, MATCH(1, (Raw_Financials!$A$2:$A$76="SRF Ltd")*(Raw_Financials!$B$2:$B$76="2022"),0)+1),"")=""),"",(IFERROR(INDEX(Raw_Financials!$C$2:$C$76, MATCH(1, (Raw_Financials!$A$2:$A$76="SRF Ltd")*(Raw_Financials!$B$2:$B$76="2022"),0)+1),""))/(IFERROR(INDEX(Raw_Financials!$E$2:$E$76, MATCH(1, (Raw_Financials!$A$2:$A$76="SRF Ltd")*(Raw_Financials!$B$2:$B$76="2022"),0)+1),"")))</f>
        <v>0.31926162404964181</v>
      </c>
      <c r="E19" cm="1">
        <f t="array" ref="E19">IF(OR(IFERROR(INDEX(Raw_Financials!$G$2:$G$76, MATCH(1, (Raw_Financials!$A$2:$A$76="SRF Ltd")*(Raw_Financials!$B$2:$B$76="2022"),0)+1),"")="",IFERROR(INDEX(Raw_Financials!$H$2:$H$76, MATCH(1, (Raw_Financials!$A$2:$A$76="SRF Ltd")*(Raw_Financials!$B$2:$B$76="2022"),0)+1),"")=""),"",(IFERROR(INDEX(Raw_Financials!$G$2:$G$76, MATCH(1, (Raw_Financials!$A$2:$A$76="SRF Ltd")*(Raw_Financials!$B$2:$B$76="2022"),0)+1),""))-(IFERROR(INDEX(Raw_Financials!$H$2:$H$76, MATCH(1, (Raw_Financials!$A$2:$A$76="SRF Ltd")*(Raw_Financials!$B$2:$B$76="2022"),0)+1),"")))</f>
        <v>10408.209999999995</v>
      </c>
      <c r="F19" cm="1">
        <f t="array" ref="F19">IF(OR(IFERROR(INDEX(Raw_Financials!$C$2:$C$76, MATCH(1, (Raw_Financials!$A$2:$A$76="SRF Ltd")*(Raw_Financials!$B$2:$B$76="2022"),0)+1),"")="",IF(OR(IFERROR(INDEX(Raw_Financials!$G$2:$G$76, MATCH(1, (Raw_Financials!$A$2:$A$76="SRF Ltd")*(Raw_Financials!$B$2:$B$76="2022"),0)+1),"")="",IFERROR(INDEX(Raw_Financials!$H$2:$H$76, MATCH(1, (Raw_Financials!$A$2:$A$76="SRF Ltd")*(Raw_Financials!$B$2:$B$76="2022"),0)+1),"")=""),"",(IFERROR(INDEX(Raw_Financials!$G$2:$G$76, MATCH(1, (Raw_Financials!$A$2:$A$76="SRF Ltd")*(Raw_Financials!$B$2:$B$76="2022"),0)+1),""))-(IFERROR(INDEX(Raw_Financials!$H$2:$H$76, MATCH(1, (Raw_Financials!$A$2:$A$76="SRF Ltd")*(Raw_Financials!$B$2:$B$76="2022"),0)+1),"")))=""),"",(IFERROR(INDEX(Raw_Financials!$C$2:$C$76, MATCH(1, (Raw_Financials!$A$2:$A$76="SRF Ltd")*(Raw_Financials!$B$2:$B$76="2022"),0)+1),""))/(IF(OR(IFERROR(INDEX(Raw_Financials!$G$2:$G$76, MATCH(1, (Raw_Financials!$A$2:$A$76="SRF Ltd")*(Raw_Financials!$B$2:$B$76="2022"),0)+1),"")="",IFERROR(INDEX(Raw_Financials!$H$2:$H$76, MATCH(1, (Raw_Financials!$A$2:$A$76="SRF Ltd")*(Raw_Financials!$B$2:$B$76="2022"),0)+1),"")=""),"",(IFERROR(INDEX(Raw_Financials!$G$2:$G$76, MATCH(1, (Raw_Financials!$A$2:$A$76="SRF Ltd")*(Raw_Financials!$B$2:$B$76="2022"),0)+1),""))-(IFERROR(INDEX(Raw_Financials!$H$2:$H$76, MATCH(1, (Raw_Financials!$A$2:$A$76="SRF Ltd")*(Raw_Financials!$B$2:$B$76="2022"),0)+1),"")))))</f>
        <v>6.290040266289787</v>
      </c>
      <c r="G19" cm="1">
        <f t="array" ref="G19">IF(OR(IFERROR(INDEX(Raw_Financials!$O$2:$O$76, MATCH(1, (Raw_Financials!$A$2:$A$76="SRF Ltd")*(Raw_Financials!$B$2:$B$76="2022"),0)+1),"")="",IFERROR(INDEX(Raw_Financials!$M$2:$M$76, MATCH(1, (Raw_Financials!$A$2:$A$76="SRF Ltd")*(Raw_Financials!$B$2:$B$76="2022"),0)+1),"")=""),"",(IFERROR(INDEX(Raw_Financials!$O$2:$O$76, MATCH(1, (Raw_Financials!$A$2:$A$76="SRF Ltd")*(Raw_Financials!$B$2:$B$76="2022"),0)+1),""))/(IFERROR(INDEX(Raw_Financials!$M$2:$M$76, MATCH(1, (Raw_Financials!$A$2:$A$76="SRF Ltd")*(Raw_Financials!$B$2:$B$76="2022"),0)+1),"")))</f>
        <v>1.5747833371882343</v>
      </c>
      <c r="H19" cm="1">
        <f t="array" ref="H19">IF(OR(IFERROR(INDEX(Raw_Financials!$M$2:$M$76, MATCH(1, (Raw_Financials!$A$2:$A$76="SRF Ltd")*(Raw_Financials!$B$2:$B$76="2022"),0)+1),"")="",IFERROR(INDEX(Raw_Financials!$L$2:$L$76, MATCH(1, (Raw_Financials!$A$2:$A$76="SRF Ltd")*(Raw_Financials!$B$2:$B$76="2022"),0)+1),"")=""),"",(IFERROR(INDEX(Raw_Financials!$M$2:$M$76, MATCH(1, (Raw_Financials!$A$2:$A$76="SRF Ltd")*(Raw_Financials!$B$2:$B$76="2022"),0)+1),""))/(IFERROR(INDEX(Raw_Financials!$L$2:$L$76, MATCH(1, (Raw_Financials!$A$2:$A$76="SRF Ltd")*(Raw_Financials!$B$2:$B$76="2022"),0)+1),"")))</f>
        <v>4.2908290836800971</v>
      </c>
      <c r="I19" cm="1">
        <f t="array" ref="I19">IF(OR(IFERROR(INDEX(Raw_Financials!$N$2:$N$76, MATCH(1, (Raw_Financials!$A$2:$A$76="SRF Ltd")*(Raw_Financials!$B$2:$B$76="2022"),0)+1),"")="",IFERROR(INDEX(Raw_Financials!$J$2:$J$76, MATCH(1, (Raw_Financials!$A$2:$A$76="SRF Ltd")*(Raw_Financials!$B$2:$B$76="2022"),0)+1),"")=""),"",(IFERROR(INDEX(Raw_Financials!$N$2:$N$76, MATCH(1, (Raw_Financials!$A$2:$A$76="SRF Ltd")*(Raw_Financials!$B$2:$B$76="2022"),0)+1),""))-(IFERROR(INDEX(Raw_Financials!$J$2:$J$76, MATCH(1, (Raw_Financials!$A$2:$A$76="SRF Ltd")*(Raw_Financials!$B$2:$B$76="2022"),0)+1),"")))</f>
        <v>9450.2400000000016</v>
      </c>
      <c r="J19" cm="1">
        <f t="array" ref="J19">IF(OR(IFERROR(INDEX(Raw_Financials!$M$2:$M$76, MATCH(1, (Raw_Financials!$A$2:$A$76="SRF Ltd")*(Raw_Financials!$B$2:$B$76="2022"),0)+1),"")="",IFERROR(INDEX(Raw_Financials!$C$2:$C$76, MATCH(1, (Raw_Financials!$A$2:$A$76="SRF Ltd")*(Raw_Financials!$B$2:$B$76="2022"),0)+1),"")=""),"",(IFERROR(INDEX(Raw_Financials!$M$2:$M$76, MATCH(1, (Raw_Financials!$A$2:$A$76="SRF Ltd")*(Raw_Financials!$B$2:$B$76="2022"),0)+1),""))/(IFERROR(INDEX(Raw_Financials!$C$2:$C$76, MATCH(1, (Raw_Financials!$A$2:$A$76="SRF Ltd")*(Raw_Financials!$B$2:$B$76="2022"),0)+1),"")))</f>
        <v>0.42463622719231336</v>
      </c>
      <c r="K19" cm="1">
        <f t="array" ref="K19">IF(OR(IFERROR(INDEX(Raw_ESG!$C$2:$C$76, MATCH(1, (Raw_ESG!$A$2:$A$76="SRF Ltd")*(Raw_ESG!$B$2:$B$76="2022"),0)+1),"")="",IFERROR(INDEX(Raw_Financials!$J$2:$J$76, MATCH(1, (Raw_Financials!$A$2:$A$76="SRF Ltd")*(Raw_Financials!$B$2:$B$76="2022"),0)+1),"")=""),"",(IFERROR(INDEX(Raw_ESG!$C$2:$C$76, MATCH(1, (Raw_ESG!$A$2:$A$76="SRF Ltd")*(Raw_ESG!$B$2:$B$76="2022"),0)+1),""))/(IFERROR(INDEX(Raw_Financials!$J$2:$J$76, MATCH(1, (Raw_Financials!$A$2:$A$76="SRF Ltd")*(Raw_Financials!$B$2:$B$76="2022"),0)+1),"")))</f>
        <v>0.40520659777175633</v>
      </c>
      <c r="L19" cm="1">
        <f t="array" ref="L19">IF(OR(IFERROR(INDEX(Raw_ESG!$D$2:$D$76, MATCH(1, (Raw_ESG!$A$2:$A$76="SRF Ltd")*(Raw_ESG!$B$2:$B$76="2022"),0)+1),"")="",IFERROR(INDEX(Raw_Financials!$E$2:$E$76, MATCH(1, (Raw_Financials!$A$2:$A$76="SRF Ltd")*(Raw_Financials!$B$2:$B$76="2022"),0)+1),"")=""),"",(IFERROR(INDEX(Raw_ESG!$D$2:$D$76, MATCH(1, (Raw_ESG!$A$2:$A$76="SRF Ltd")*(Raw_ESG!$B$2:$B$76="2022"),0)+1),""))/(IFERROR(INDEX(Raw_Financials!$E$2:$E$76, MATCH(1, (Raw_Financials!$A$2:$A$76="SRF Ltd")*(Raw_Financials!$B$2:$B$76="2022"),0)+1),"")))</f>
        <v>0.10350849516131432</v>
      </c>
      <c r="M19" cm="1">
        <f t="array" ref="M19">IF(OR(IFERROR(INDEX(Raw_ESG!$E$2:$E$76, MATCH(1, (Raw_ESG!$A$2:$A$76="SRF Ltd")*(Raw_ESG!$B$2:$B$76="2022"),0)+1),"")="",IFERROR(INDEX(Raw_ESG!$F$2:$F$76, MATCH(1, (Raw_ESG!$A$2:$A$76="SRF Ltd")*(Raw_ESG!$B$2:$B$76="2022"),0)+1),"")=""),"",(IFERROR(INDEX(Raw_ESG!$E$2:$E$76, MATCH(1, (Raw_ESG!$A$2:$A$76="SRF Ltd")*(Raw_ESG!$B$2:$B$76="2022"),0)+1),""))+(IFERROR(INDEX(Raw_ESG!$F$2:$F$76, MATCH(1, (Raw_ESG!$A$2:$A$76="SRF Ltd")*(Raw_ESG!$B$2:$B$76="2022"),0)+1),"")))</f>
        <v>97585.450000000012</v>
      </c>
      <c r="N19" cm="1">
        <f t="array" ref="N19">IFERROR(INDEX(Raw_ESG!$G$2:$G$76, MATCH(1, (Raw_ESG!$A$2:$A$76="SRF Ltd")*(Raw_ESG!$B$2:$B$76="2022"),0)+1),"")</f>
        <v>47.82</v>
      </c>
    </row>
    <row r="20" spans="1:14" x14ac:dyDescent="0.35">
      <c r="A20" t="s">
        <v>5</v>
      </c>
      <c r="B20" t="s">
        <v>36</v>
      </c>
      <c r="C20" cm="1">
        <f t="array" ref="C20">IF(OR(IFERROR(INDEX(Raw_Financials!$E$2:$E$76, MATCH(1, (Raw_Financials!$A$2:$A$76="SRF Ltd")*(Raw_Financials!$B$2:$B$76="2023"),0)+1),"")="",IFERROR(INDEX(Raw_Financials!$D$2:$D$76, MATCH(1, (Raw_Financials!$A$2:$A$76="SRF Ltd")*(Raw_Financials!$B$2:$B$76="2023"),0)+1),"")=""),"",(IFERROR(INDEX(Raw_Financials!$D$2:$D$76, MATCH(1, (Raw_Financials!$A$2:$A$76="SRF Ltd")*(Raw_Financials!$B$2:$B$76="2023"),0)+1),""))/(IFERROR(INDEX(Raw_Financials!$E$2:$E$76, MATCH(1, (Raw_Financials!$A$2:$A$76="SRF Ltd")*(Raw_Financials!$B$2:$B$76="2023"),0)+1),"")))</f>
        <v>4.9392218633769122E-2</v>
      </c>
      <c r="D20" cm="1">
        <f t="array" ref="D20">IF(OR(IFERROR(INDEX(Raw_Financials!$E$2:$E$76, MATCH(1, (Raw_Financials!$A$2:$A$76="SRF Ltd")*(Raw_Financials!$B$2:$B$76="2023"),0)+1),"")="",IFERROR(INDEX(Raw_Financials!$C$2:$C$76, MATCH(1, (Raw_Financials!$A$2:$A$76="SRF Ltd")*(Raw_Financials!$B$2:$B$76="2023"),0)+1),"")=""),"",(IFERROR(INDEX(Raw_Financials!$C$2:$C$76, MATCH(1, (Raw_Financials!$A$2:$A$76="SRF Ltd")*(Raw_Financials!$B$2:$B$76="2023"),0)+1),""))/(IFERROR(INDEX(Raw_Financials!$E$2:$E$76, MATCH(1, (Raw_Financials!$A$2:$A$76="SRF Ltd")*(Raw_Financials!$B$2:$B$76="2023"),0)+1),"")))</f>
        <v>0.17134063570395028</v>
      </c>
      <c r="E20" cm="1">
        <f t="array" ref="E20">IF(OR(IFERROR(INDEX(Raw_Financials!$G$2:$G$76, MATCH(1, (Raw_Financials!$A$2:$A$76="SRF Ltd")*(Raw_Financials!$B$2:$B$76="2023"),0)+1),"")="",IFERROR(INDEX(Raw_Financials!$H$2:$H$76, MATCH(1, (Raw_Financials!$A$2:$A$76="SRF Ltd")*(Raw_Financials!$B$2:$B$76="2023"),0)+1),"")=""),"",(IFERROR(INDEX(Raw_Financials!$G$2:$G$76, MATCH(1, (Raw_Financials!$A$2:$A$76="SRF Ltd")*(Raw_Financials!$B$2:$B$76="2023"),0)+1),""))-(IFERROR(INDEX(Raw_Financials!$H$2:$H$76, MATCH(1, (Raw_Financials!$A$2:$A$76="SRF Ltd")*(Raw_Financials!$B$2:$B$76="2023"),0)+1),"")))</f>
        <v>27718.32</v>
      </c>
      <c r="F20" cm="1">
        <f t="array" ref="F20">IF(OR(IFERROR(INDEX(Raw_Financials!$C$2:$C$76, MATCH(1, (Raw_Financials!$A$2:$A$76="SRF Ltd")*(Raw_Financials!$B$2:$B$76="2023"),0)+1),"")="",IF(OR(IFERROR(INDEX(Raw_Financials!$G$2:$G$76, MATCH(1, (Raw_Financials!$A$2:$A$76="SRF Ltd")*(Raw_Financials!$B$2:$B$76="2023"),0)+1),"")="",IFERROR(INDEX(Raw_Financials!$H$2:$H$76, MATCH(1, (Raw_Financials!$A$2:$A$76="SRF Ltd")*(Raw_Financials!$B$2:$B$76="2023"),0)+1),"")=""),"",(IFERROR(INDEX(Raw_Financials!$G$2:$G$76, MATCH(1, (Raw_Financials!$A$2:$A$76="SRF Ltd")*(Raw_Financials!$B$2:$B$76="2023"),0)+1),""))-(IFERROR(INDEX(Raw_Financials!$H$2:$H$76, MATCH(1, (Raw_Financials!$A$2:$A$76="SRF Ltd")*(Raw_Financials!$B$2:$B$76="2023"),0)+1),"")))=""),"",(IFERROR(INDEX(Raw_Financials!$C$2:$C$76, MATCH(1, (Raw_Financials!$A$2:$A$76="SRF Ltd")*(Raw_Financials!$B$2:$B$76="2023"),0)+1),""))/(IF(OR(IFERROR(INDEX(Raw_Financials!$G$2:$G$76, MATCH(1, (Raw_Financials!$A$2:$A$76="SRF Ltd")*(Raw_Financials!$B$2:$B$76="2023"),0)+1),"")="",IFERROR(INDEX(Raw_Financials!$H$2:$H$76, MATCH(1, (Raw_Financials!$A$2:$A$76="SRF Ltd")*(Raw_Financials!$B$2:$B$76="2023"),0)+1),"")=""),"",(IFERROR(INDEX(Raw_Financials!$G$2:$G$76, MATCH(1, (Raw_Financials!$A$2:$A$76="SRF Ltd")*(Raw_Financials!$B$2:$B$76="2023"),0)+1),""))-(IFERROR(INDEX(Raw_Financials!$H$2:$H$76, MATCH(1, (Raw_Financials!$A$2:$A$76="SRF Ltd")*(Raw_Financials!$B$2:$B$76="2023"),0)+1),"")))))</f>
        <v>0.96676530179318232</v>
      </c>
      <c r="G20" cm="1">
        <f t="array" ref="G20">IF(OR(IFERROR(INDEX(Raw_Financials!$O$2:$O$76, MATCH(1, (Raw_Financials!$A$2:$A$76="SRF Ltd")*(Raw_Financials!$B$2:$B$76="2023"),0)+1),"")="",IFERROR(INDEX(Raw_Financials!$M$2:$M$76, MATCH(1, (Raw_Financials!$A$2:$A$76="SRF Ltd")*(Raw_Financials!$B$2:$B$76="2023"),0)+1),"")=""),"",(IFERROR(INDEX(Raw_Financials!$O$2:$O$76, MATCH(1, (Raw_Financials!$A$2:$A$76="SRF Ltd")*(Raw_Financials!$B$2:$B$76="2023"),0)+1),""))/(IFERROR(INDEX(Raw_Financials!$M$2:$M$76, MATCH(1, (Raw_Financials!$A$2:$A$76="SRF Ltd")*(Raw_Financials!$B$2:$B$76="2023"),0)+1),"")))</f>
        <v>1.7506127453977456</v>
      </c>
      <c r="H20" cm="1">
        <f t="array" ref="H20">IF(OR(IFERROR(INDEX(Raw_Financials!$M$2:$M$76, MATCH(1, (Raw_Financials!$A$2:$A$76="SRF Ltd")*(Raw_Financials!$B$2:$B$76="2023"),0)+1),"")="",IFERROR(INDEX(Raw_Financials!$L$2:$L$76, MATCH(1, (Raw_Financials!$A$2:$A$76="SRF Ltd")*(Raw_Financials!$B$2:$B$76="2023"),0)+1),"")=""),"",(IFERROR(INDEX(Raw_Financials!$M$2:$M$76, MATCH(1, (Raw_Financials!$A$2:$A$76="SRF Ltd")*(Raw_Financials!$B$2:$B$76="2023"),0)+1),""))/(IFERROR(INDEX(Raw_Financials!$L$2:$L$76, MATCH(1, (Raw_Financials!$A$2:$A$76="SRF Ltd")*(Raw_Financials!$B$2:$B$76="2023"),0)+1),"")))</f>
        <v>6.520865626893757</v>
      </c>
      <c r="I20" cm="1">
        <f t="array" ref="I20">IF(OR(IFERROR(INDEX(Raw_Financials!$N$2:$N$76, MATCH(1, (Raw_Financials!$A$2:$A$76="SRF Ltd")*(Raw_Financials!$B$2:$B$76="2023"),0)+1),"")="",IFERROR(INDEX(Raw_Financials!$J$2:$J$76, MATCH(1, (Raw_Financials!$A$2:$A$76="SRF Ltd")*(Raw_Financials!$B$2:$B$76="2023"),0)+1),"")=""),"",(IFERROR(INDEX(Raw_Financials!$N$2:$N$76, MATCH(1, (Raw_Financials!$A$2:$A$76="SRF Ltd")*(Raw_Financials!$B$2:$B$76="2023"),0)+1),""))-(IFERROR(INDEX(Raw_Financials!$J$2:$J$76, MATCH(1, (Raw_Financials!$A$2:$A$76="SRF Ltd")*(Raw_Financials!$B$2:$B$76="2023"),0)+1),"")))</f>
        <v>18523.830000000002</v>
      </c>
      <c r="J20" cm="1">
        <f t="array" ref="J20">IF(OR(IFERROR(INDEX(Raw_Financials!$M$2:$M$76, MATCH(1, (Raw_Financials!$A$2:$A$76="SRF Ltd")*(Raw_Financials!$B$2:$B$76="2023"),0)+1),"")="",IFERROR(INDEX(Raw_Financials!$C$2:$C$76, MATCH(1, (Raw_Financials!$A$2:$A$76="SRF Ltd")*(Raw_Financials!$B$2:$B$76="2023"),0)+1),"")=""),"",(IFERROR(INDEX(Raw_Financials!$M$2:$M$76, MATCH(1, (Raw_Financials!$A$2:$A$76="SRF Ltd")*(Raw_Financials!$B$2:$B$76="2023"),0)+1),""))/(IFERROR(INDEX(Raw_Financials!$C$2:$C$76, MATCH(1, (Raw_Financials!$A$2:$A$76="SRF Ltd")*(Raw_Financials!$B$2:$B$76="2023"),0)+1),"")))</f>
        <v>0.76295055698170433</v>
      </c>
      <c r="K20" cm="1">
        <f t="array" ref="K20">IF(OR(IFERROR(INDEX(Raw_ESG!$C$2:$C$76, MATCH(1, (Raw_ESG!$A$2:$A$76="SRF Ltd")*(Raw_ESG!$B$2:$B$76="2023"),0)+1),"")="",IFERROR(INDEX(Raw_Financials!$J$2:$J$76, MATCH(1, (Raw_Financials!$A$2:$A$76="SRF Ltd")*(Raw_Financials!$B$2:$B$76="2023"),0)+1),"")=""),"",(IFERROR(INDEX(Raw_ESG!$C$2:$C$76, MATCH(1, (Raw_ESG!$A$2:$A$76="SRF Ltd")*(Raw_ESG!$B$2:$B$76="2023"),0)+1),""))/(IFERROR(INDEX(Raw_Financials!$J$2:$J$76, MATCH(1, (Raw_Financials!$A$2:$A$76="SRF Ltd")*(Raw_Financials!$B$2:$B$76="2023"),0)+1),"")))</f>
        <v>0.29911893307203002</v>
      </c>
      <c r="L20" cm="1">
        <f t="array" ref="L20">IF(OR(IFERROR(INDEX(Raw_ESG!$D$2:$D$76, MATCH(1, (Raw_ESG!$A$2:$A$76="SRF Ltd")*(Raw_ESG!$B$2:$B$76="2023"),0)+1),"")="",IFERROR(INDEX(Raw_Financials!$E$2:$E$76, MATCH(1, (Raw_Financials!$A$2:$A$76="SRF Ltd")*(Raw_Financials!$B$2:$B$76="2023"),0)+1),"")=""),"",(IFERROR(INDEX(Raw_ESG!$D$2:$D$76, MATCH(1, (Raw_ESG!$A$2:$A$76="SRF Ltd")*(Raw_ESG!$B$2:$B$76="2023"),0)+1),""))/(IFERROR(INDEX(Raw_Financials!$E$2:$E$76, MATCH(1, (Raw_Financials!$A$2:$A$76="SRF Ltd")*(Raw_Financials!$B$2:$B$76="2023"),0)+1),"")))</f>
        <v>0.16253117872691686</v>
      </c>
      <c r="M20" cm="1">
        <f t="array" ref="M20">IF(OR(IFERROR(INDEX(Raw_ESG!$E$2:$E$76, MATCH(1, (Raw_ESG!$A$2:$A$76="SRF Ltd")*(Raw_ESG!$B$2:$B$76="2023"),0)+1),"")="",IFERROR(INDEX(Raw_ESG!$F$2:$F$76, MATCH(1, (Raw_ESG!$A$2:$A$76="SRF Ltd")*(Raw_ESG!$B$2:$B$76="2023"),0)+1),"")=""),"",(IFERROR(INDEX(Raw_ESG!$E$2:$E$76, MATCH(1, (Raw_ESG!$A$2:$A$76="SRF Ltd")*(Raw_ESG!$B$2:$B$76="2023"),0)+1),""))+(IFERROR(INDEX(Raw_ESG!$F$2:$F$76, MATCH(1, (Raw_ESG!$A$2:$A$76="SRF Ltd")*(Raw_ESG!$B$2:$B$76="2023"),0)+1),"")))</f>
        <v>134862.12</v>
      </c>
      <c r="N20" cm="1">
        <f t="array" ref="N20">IFERROR(INDEX(Raw_ESG!$G$2:$G$76, MATCH(1, (Raw_ESG!$A$2:$A$76="SRF Ltd")*(Raw_ESG!$B$2:$B$76="2023"),0)+1),"")</f>
        <v>52.51</v>
      </c>
    </row>
    <row r="21" spans="1:14" x14ac:dyDescent="0.35">
      <c r="A21" t="s">
        <v>5</v>
      </c>
      <c r="B21" t="s">
        <v>37</v>
      </c>
      <c r="C21" cm="1">
        <f t="array" ref="C21">IF(OR(IFERROR(INDEX(Raw_Financials!$E$2:$E$76, MATCH(1, (Raw_Financials!$A$2:$A$76="SRF Ltd")*(Raw_Financials!$B$2:$B$76="2024"),0)+1),"")="",IFERROR(INDEX(Raw_Financials!$D$2:$D$76, MATCH(1, (Raw_Financials!$A$2:$A$76="SRF Ltd")*(Raw_Financials!$B$2:$B$76="2024"),0)+1),"")=""),"",(IFERROR(INDEX(Raw_Financials!$D$2:$D$76, MATCH(1, (Raw_Financials!$A$2:$A$76="SRF Ltd")*(Raw_Financials!$B$2:$B$76="2024"),0)+1),""))/(IFERROR(INDEX(Raw_Financials!$E$2:$E$76, MATCH(1, (Raw_Financials!$A$2:$A$76="SRF Ltd")*(Raw_Financials!$B$2:$B$76="2024"),0)+1),"")))</f>
        <v>5.285771951962414E-2</v>
      </c>
      <c r="D21" cm="1">
        <f t="array" ref="D21">IF(OR(IFERROR(INDEX(Raw_Financials!$E$2:$E$76, MATCH(1, (Raw_Financials!$A$2:$A$76="SRF Ltd")*(Raw_Financials!$B$2:$B$76="2024"),0)+1),"")="",IFERROR(INDEX(Raw_Financials!$C$2:$C$76, MATCH(1, (Raw_Financials!$A$2:$A$76="SRF Ltd")*(Raw_Financials!$B$2:$B$76="2024"),0)+1),"")=""),"",(IFERROR(INDEX(Raw_Financials!$C$2:$C$76, MATCH(1, (Raw_Financials!$A$2:$A$76="SRF Ltd")*(Raw_Financials!$B$2:$B$76="2024"),0)+1),""))/(IFERROR(INDEX(Raw_Financials!$E$2:$E$76, MATCH(1, (Raw_Financials!$A$2:$A$76="SRF Ltd")*(Raw_Financials!$B$2:$B$76="2024"),0)+1),"")))</f>
        <v>0.17671317010438561</v>
      </c>
      <c r="E21" cm="1">
        <f t="array" ref="E21">IF(OR(IFERROR(INDEX(Raw_Financials!$G$2:$G$76, MATCH(1, (Raw_Financials!$A$2:$A$76="SRF Ltd")*(Raw_Financials!$B$2:$B$76="2024"),0)+1),"")="",IFERROR(INDEX(Raw_Financials!$H$2:$H$76, MATCH(1, (Raw_Financials!$A$2:$A$76="SRF Ltd")*(Raw_Financials!$B$2:$B$76="2024"),0)+1),"")=""),"",(IFERROR(INDEX(Raw_Financials!$G$2:$G$76, MATCH(1, (Raw_Financials!$A$2:$A$76="SRF Ltd")*(Raw_Financials!$B$2:$B$76="2024"),0)+1),""))-(IFERROR(INDEX(Raw_Financials!$H$2:$H$76, MATCH(1, (Raw_Financials!$A$2:$A$76="SRF Ltd")*(Raw_Financials!$B$2:$B$76="2024"),0)+1),"")))</f>
        <v>4768.0900000000038</v>
      </c>
      <c r="F21" cm="1">
        <f t="array" ref="F21">IF(OR(IFERROR(INDEX(Raw_Financials!$C$2:$C$76, MATCH(1, (Raw_Financials!$A$2:$A$76="SRF Ltd")*(Raw_Financials!$B$2:$B$76="2024"),0)+1),"")="",IF(OR(IFERROR(INDEX(Raw_Financials!$G$2:$G$76, MATCH(1, (Raw_Financials!$A$2:$A$76="SRF Ltd")*(Raw_Financials!$B$2:$B$76="2024"),0)+1),"")="",IFERROR(INDEX(Raw_Financials!$H$2:$H$76, MATCH(1, (Raw_Financials!$A$2:$A$76="SRF Ltd")*(Raw_Financials!$B$2:$B$76="2024"),0)+1),"")=""),"",(IFERROR(INDEX(Raw_Financials!$G$2:$G$76, MATCH(1, (Raw_Financials!$A$2:$A$76="SRF Ltd")*(Raw_Financials!$B$2:$B$76="2024"),0)+1),""))-(IFERROR(INDEX(Raw_Financials!$H$2:$H$76, MATCH(1, (Raw_Financials!$A$2:$A$76="SRF Ltd")*(Raw_Financials!$B$2:$B$76="2024"),0)+1),"")))=""),"",(IFERROR(INDEX(Raw_Financials!$C$2:$C$76, MATCH(1, (Raw_Financials!$A$2:$A$76="SRF Ltd")*(Raw_Financials!$B$2:$B$76="2024"),0)+1),""))/(IF(OR(IFERROR(INDEX(Raw_Financials!$G$2:$G$76, MATCH(1, (Raw_Financials!$A$2:$A$76="SRF Ltd")*(Raw_Financials!$B$2:$B$76="2024"),0)+1),"")="",IFERROR(INDEX(Raw_Financials!$H$2:$H$76, MATCH(1, (Raw_Financials!$A$2:$A$76="SRF Ltd")*(Raw_Financials!$B$2:$B$76="2024"),0)+1),"")=""),"",(IFERROR(INDEX(Raw_Financials!$G$2:$G$76, MATCH(1, (Raw_Financials!$A$2:$A$76="SRF Ltd")*(Raw_Financials!$B$2:$B$76="2024"),0)+1),""))-(IFERROR(INDEX(Raw_Financials!$H$2:$H$76, MATCH(1, (Raw_Financials!$A$2:$A$76="SRF Ltd")*(Raw_Financials!$B$2:$B$76="2024"),0)+1),"")))))</f>
        <v>5.7851445757106053</v>
      </c>
      <c r="G21" cm="1">
        <f t="array" ref="G21">IF(OR(IFERROR(INDEX(Raw_Financials!$O$2:$O$76, MATCH(1, (Raw_Financials!$A$2:$A$76="SRF Ltd")*(Raw_Financials!$B$2:$B$76="2024"),0)+1),"")="",IFERROR(INDEX(Raw_Financials!$M$2:$M$76, MATCH(1, (Raw_Financials!$A$2:$A$76="SRF Ltd")*(Raw_Financials!$B$2:$B$76="2024"),0)+1),"")=""),"",(IFERROR(INDEX(Raw_Financials!$O$2:$O$76, MATCH(1, (Raw_Financials!$A$2:$A$76="SRF Ltd")*(Raw_Financials!$B$2:$B$76="2024"),0)+1),""))/(IFERROR(INDEX(Raw_Financials!$M$2:$M$76, MATCH(1, (Raw_Financials!$A$2:$A$76="SRF Ltd")*(Raw_Financials!$B$2:$B$76="2024"),0)+1),"")))</f>
        <v>1.3987400043558298</v>
      </c>
      <c r="H21" cm="1">
        <f t="array" ref="H21">IF(OR(IFERROR(INDEX(Raw_Financials!$M$2:$M$76, MATCH(1, (Raw_Financials!$A$2:$A$76="SRF Ltd")*(Raw_Financials!$B$2:$B$76="2024"),0)+1),"")="",IFERROR(INDEX(Raw_Financials!$L$2:$L$76, MATCH(1, (Raw_Financials!$A$2:$A$76="SRF Ltd")*(Raw_Financials!$B$2:$B$76="2024"),0)+1),"")=""),"",(IFERROR(INDEX(Raw_Financials!$M$2:$M$76, MATCH(1, (Raw_Financials!$A$2:$A$76="SRF Ltd")*(Raw_Financials!$B$2:$B$76="2024"),0)+1),""))/(IFERROR(INDEX(Raw_Financials!$L$2:$L$76, MATCH(1, (Raw_Financials!$A$2:$A$76="SRF Ltd")*(Raw_Financials!$B$2:$B$76="2024"),0)+1),"")))</f>
        <v>4.8725091848807525</v>
      </c>
      <c r="I21" cm="1">
        <f t="array" ref="I21">IF(OR(IFERROR(INDEX(Raw_Financials!$N$2:$N$76, MATCH(1, (Raw_Financials!$A$2:$A$76="SRF Ltd")*(Raw_Financials!$B$2:$B$76="2024"),0)+1),"")="",IFERROR(INDEX(Raw_Financials!$J$2:$J$76, MATCH(1, (Raw_Financials!$A$2:$A$76="SRF Ltd")*(Raw_Financials!$B$2:$B$76="2024"),0)+1),"")=""),"",(IFERROR(INDEX(Raw_Financials!$N$2:$N$76, MATCH(1, (Raw_Financials!$A$2:$A$76="SRF Ltd")*(Raw_Financials!$B$2:$B$76="2024"),0)+1),""))-(IFERROR(INDEX(Raw_Financials!$J$2:$J$76, MATCH(1, (Raw_Financials!$A$2:$A$76="SRF Ltd")*(Raw_Financials!$B$2:$B$76="2024"),0)+1),"")))</f>
        <v>6231.85</v>
      </c>
      <c r="J21" cm="1">
        <f t="array" ref="J21">IF(OR(IFERROR(INDEX(Raw_Financials!$M$2:$M$76, MATCH(1, (Raw_Financials!$A$2:$A$76="SRF Ltd")*(Raw_Financials!$B$2:$B$76="2024"),0)+1),"")="",IFERROR(INDEX(Raw_Financials!$C$2:$C$76, MATCH(1, (Raw_Financials!$A$2:$A$76="SRF Ltd")*(Raw_Financials!$B$2:$B$76="2024"),0)+1),"")=""),"",(IFERROR(INDEX(Raw_Financials!$M$2:$M$76, MATCH(1, (Raw_Financials!$A$2:$A$76="SRF Ltd")*(Raw_Financials!$B$2:$B$76="2024"),0)+1),""))/(IFERROR(INDEX(Raw_Financials!$C$2:$C$76, MATCH(1, (Raw_Financials!$A$2:$A$76="SRF Ltd")*(Raw_Financials!$B$2:$B$76="2024"),0)+1),"")))</f>
        <v>0.68080658089500146</v>
      </c>
      <c r="K21" cm="1">
        <f t="array" ref="K21">IF(OR(IFERROR(INDEX(Raw_ESG!$C$2:$C$76, MATCH(1, (Raw_ESG!$A$2:$A$76="SRF Ltd")*(Raw_ESG!$B$2:$B$76="2024"),0)+1),"")="",IFERROR(INDEX(Raw_Financials!$J$2:$J$76, MATCH(1, (Raw_Financials!$A$2:$A$76="SRF Ltd")*(Raw_Financials!$B$2:$B$76="2024"),0)+1),"")=""),"",(IFERROR(INDEX(Raw_ESG!$C$2:$C$76, MATCH(1, (Raw_ESG!$A$2:$A$76="SRF Ltd")*(Raw_ESG!$B$2:$B$76="2024"),0)+1),""))/(IFERROR(INDEX(Raw_Financials!$J$2:$J$76, MATCH(1, (Raw_Financials!$A$2:$A$76="SRF Ltd")*(Raw_Financials!$B$2:$B$76="2024"),0)+1),"")))</f>
        <v>0.67552335726332879</v>
      </c>
      <c r="L21" cm="1">
        <f t="array" ref="L21">IF(OR(IFERROR(INDEX(Raw_ESG!$D$2:$D$76, MATCH(1, (Raw_ESG!$A$2:$A$76="SRF Ltd")*(Raw_ESG!$B$2:$B$76="2024"),0)+1),"")="",IFERROR(INDEX(Raw_Financials!$E$2:$E$76, MATCH(1, (Raw_Financials!$A$2:$A$76="SRF Ltd")*(Raw_Financials!$B$2:$B$76="2024"),0)+1),"")=""),"",(IFERROR(INDEX(Raw_ESG!$D$2:$D$76, MATCH(1, (Raw_ESG!$A$2:$A$76="SRF Ltd")*(Raw_ESG!$B$2:$B$76="2024"),0)+1),""))/(IFERROR(INDEX(Raw_Financials!$E$2:$E$76, MATCH(1, (Raw_Financials!$A$2:$A$76="SRF Ltd")*(Raw_Financials!$B$2:$B$76="2024"),0)+1),"")))</f>
        <v>0.12733191723234152</v>
      </c>
      <c r="M21" cm="1">
        <f t="array" ref="M21">IF(OR(IFERROR(INDEX(Raw_ESG!$E$2:$E$76, MATCH(1, (Raw_ESG!$A$2:$A$76="SRF Ltd")*(Raw_ESG!$B$2:$B$76="2024"),0)+1),"")="",IFERROR(INDEX(Raw_ESG!$F$2:$F$76, MATCH(1, (Raw_ESG!$A$2:$A$76="SRF Ltd")*(Raw_ESG!$B$2:$B$76="2024"),0)+1),"")=""),"",(IFERROR(INDEX(Raw_ESG!$E$2:$E$76, MATCH(1, (Raw_ESG!$A$2:$A$76="SRF Ltd")*(Raw_ESG!$B$2:$B$76="2024"),0)+1),""))+(IFERROR(INDEX(Raw_ESG!$F$2:$F$76, MATCH(1, (Raw_ESG!$A$2:$A$76="SRF Ltd")*(Raw_ESG!$B$2:$B$76="2024"),0)+1),"")))</f>
        <v>189172.37</v>
      </c>
      <c r="N21" cm="1">
        <f t="array" ref="N21">IFERROR(INDEX(Raw_ESG!$G$2:$G$76, MATCH(1, (Raw_ESG!$A$2:$A$76="SRF Ltd")*(Raw_ESG!$B$2:$B$76="2024"),0)+1),"")</f>
        <v>67.459999999999994</v>
      </c>
    </row>
    <row r="22" spans="1:14" x14ac:dyDescent="0.35">
      <c r="A22" t="s">
        <v>6</v>
      </c>
      <c r="B22" t="s">
        <v>33</v>
      </c>
      <c r="C22" cm="1">
        <f t="array" ref="C22">IF(OR(IFERROR(INDEX(Raw_Financials!$E$2:$E$76, MATCH(1, (Raw_Financials!$A$2:$A$76="Gujarat Fluorochemicals")*(Raw_Financials!$B$2:$B$76="2020"),0)+1),"")="",IFERROR(INDEX(Raw_Financials!$D$2:$D$76, MATCH(1, (Raw_Financials!$A$2:$A$76="Gujarat Fluorochemicals")*(Raw_Financials!$B$2:$B$76="2020"),0)+1),"")=""),"",(IFERROR(INDEX(Raw_Financials!$D$2:$D$76, MATCH(1, (Raw_Financials!$A$2:$A$76="Gujarat Fluorochemicals")*(Raw_Financials!$B$2:$B$76="2020"),0)+1),""))/(IFERROR(INDEX(Raw_Financials!$E$2:$E$76, MATCH(1, (Raw_Financials!$A$2:$A$76="Gujarat Fluorochemicals")*(Raw_Financials!$B$2:$B$76="2020"),0)+1),"")))</f>
        <v>7.2000407944420544E-2</v>
      </c>
      <c r="D22" cm="1">
        <f t="array" ref="D22">IF(OR(IFERROR(INDEX(Raw_Financials!$E$2:$E$76, MATCH(1, (Raw_Financials!$A$2:$A$76="Gujarat Fluorochemicals")*(Raw_Financials!$B$2:$B$76="2020"),0)+1),"")="",IFERROR(INDEX(Raw_Financials!$C$2:$C$76, MATCH(1, (Raw_Financials!$A$2:$A$76="Gujarat Fluorochemicals")*(Raw_Financials!$B$2:$B$76="2020"),0)+1),"")=""),"",(IFERROR(INDEX(Raw_Financials!$C$2:$C$76, MATCH(1, (Raw_Financials!$A$2:$A$76="Gujarat Fluorochemicals")*(Raw_Financials!$B$2:$B$76="2020"),0)+1),""))/(IFERROR(INDEX(Raw_Financials!$E$2:$E$76, MATCH(1, (Raw_Financials!$A$2:$A$76="Gujarat Fluorochemicals")*(Raw_Financials!$B$2:$B$76="2020"),0)+1),"")))</f>
        <v>0.59210073058687063</v>
      </c>
      <c r="E22" cm="1">
        <f t="array" ref="E22">IF(OR(IFERROR(INDEX(Raw_Financials!$G$2:$G$76, MATCH(1, (Raw_Financials!$A$2:$A$76="Gujarat Fluorochemicals")*(Raw_Financials!$B$2:$B$76="2020"),0)+1),"")="",IFERROR(INDEX(Raw_Financials!$H$2:$H$76, MATCH(1, (Raw_Financials!$A$2:$A$76="Gujarat Fluorochemicals")*(Raw_Financials!$B$2:$B$76="2020"),0)+1),"")=""),"",(IFERROR(INDEX(Raw_Financials!$G$2:$G$76, MATCH(1, (Raw_Financials!$A$2:$A$76="Gujarat Fluorochemicals")*(Raw_Financials!$B$2:$B$76="2020"),0)+1),""))-(IFERROR(INDEX(Raw_Financials!$H$2:$H$76, MATCH(1, (Raw_Financials!$A$2:$A$76="Gujarat Fluorochemicals")*(Raw_Financials!$B$2:$B$76="2020"),0)+1),"")))</f>
        <v>-1467.0799999999981</v>
      </c>
      <c r="F22" cm="1">
        <f t="array" ref="F22">IF(OR(IFERROR(INDEX(Raw_Financials!$C$2:$C$76, MATCH(1, (Raw_Financials!$A$2:$A$76="Gujarat Fluorochemicals")*(Raw_Financials!$B$2:$B$76="2020"),0)+1),"")="",IF(OR(IFERROR(INDEX(Raw_Financials!$G$2:$G$76, MATCH(1, (Raw_Financials!$A$2:$A$76="Gujarat Fluorochemicals")*(Raw_Financials!$B$2:$B$76="2020"),0)+1),"")="",IFERROR(INDEX(Raw_Financials!$H$2:$H$76, MATCH(1, (Raw_Financials!$A$2:$A$76="Gujarat Fluorochemicals")*(Raw_Financials!$B$2:$B$76="2020"),0)+1),"")=""),"",(IFERROR(INDEX(Raw_Financials!$G$2:$G$76, MATCH(1, (Raw_Financials!$A$2:$A$76="Gujarat Fluorochemicals")*(Raw_Financials!$B$2:$B$76="2020"),0)+1),""))-(IFERROR(INDEX(Raw_Financials!$H$2:$H$76, MATCH(1, (Raw_Financials!$A$2:$A$76="Gujarat Fluorochemicals")*(Raw_Financials!$B$2:$B$76="2020"),0)+1),"")))=""),"",(IFERROR(INDEX(Raw_Financials!$C$2:$C$76, MATCH(1, (Raw_Financials!$A$2:$A$76="Gujarat Fluorochemicals")*(Raw_Financials!$B$2:$B$76="2020"),0)+1),""))/(IF(OR(IFERROR(INDEX(Raw_Financials!$G$2:$G$76, MATCH(1, (Raw_Financials!$A$2:$A$76="Gujarat Fluorochemicals")*(Raw_Financials!$B$2:$B$76="2020"),0)+1),"")="",IFERROR(INDEX(Raw_Financials!$H$2:$H$76, MATCH(1, (Raw_Financials!$A$2:$A$76="Gujarat Fluorochemicals")*(Raw_Financials!$B$2:$B$76="2020"),0)+1),"")=""),"",(IFERROR(INDEX(Raw_Financials!$G$2:$G$76, MATCH(1, (Raw_Financials!$A$2:$A$76="Gujarat Fluorochemicals")*(Raw_Financials!$B$2:$B$76="2020"),0)+1),""))-(IFERROR(INDEX(Raw_Financials!$H$2:$H$76, MATCH(1, (Raw_Financials!$A$2:$A$76="Gujarat Fluorochemicals")*(Raw_Financials!$B$2:$B$76="2020"),0)+1),"")))))</f>
        <v>-40.760360716525398</v>
      </c>
      <c r="G22" cm="1">
        <f t="array" ref="G22">IF(OR(IFERROR(INDEX(Raw_Financials!$O$2:$O$76, MATCH(1, (Raw_Financials!$A$2:$A$76="Gujarat Fluorochemicals")*(Raw_Financials!$B$2:$B$76="2020"),0)+1),"")="",IFERROR(INDEX(Raw_Financials!$M$2:$M$76, MATCH(1, (Raw_Financials!$A$2:$A$76="Gujarat Fluorochemicals")*(Raw_Financials!$B$2:$B$76="2020"),0)+1),"")=""),"",(IFERROR(INDEX(Raw_Financials!$O$2:$O$76, MATCH(1, (Raw_Financials!$A$2:$A$76="Gujarat Fluorochemicals")*(Raw_Financials!$B$2:$B$76="2020"),0)+1),""))/(IFERROR(INDEX(Raw_Financials!$M$2:$M$76, MATCH(1, (Raw_Financials!$A$2:$A$76="Gujarat Fluorochemicals")*(Raw_Financials!$B$2:$B$76="2020"),0)+1),"")))</f>
        <v>2.2451803340665664</v>
      </c>
      <c r="H22" cm="1">
        <f t="array" ref="H22">IF(OR(IFERROR(INDEX(Raw_Financials!$M$2:$M$76, MATCH(1, (Raw_Financials!$A$2:$A$76="Gujarat Fluorochemicals")*(Raw_Financials!$B$2:$B$76="2020"),0)+1),"")="",IFERROR(INDEX(Raw_Financials!$L$2:$L$76, MATCH(1, (Raw_Financials!$A$2:$A$76="Gujarat Fluorochemicals")*(Raw_Financials!$B$2:$B$76="2020"),0)+1),"")=""),"",(IFERROR(INDEX(Raw_Financials!$M$2:$M$76, MATCH(1, (Raw_Financials!$A$2:$A$76="Gujarat Fluorochemicals")*(Raw_Financials!$B$2:$B$76="2020"),0)+1),""))/(IFERROR(INDEX(Raw_Financials!$L$2:$L$76, MATCH(1, (Raw_Financials!$A$2:$A$76="Gujarat Fluorochemicals")*(Raw_Financials!$B$2:$B$76="2020"),0)+1),"")))</f>
        <v>3.4034667110235581</v>
      </c>
      <c r="I22" cm="1">
        <f t="array" ref="I22">IF(OR(IFERROR(INDEX(Raw_Financials!$N$2:$N$76, MATCH(1, (Raw_Financials!$A$2:$A$76="Gujarat Fluorochemicals")*(Raw_Financials!$B$2:$B$76="2020"),0)+1),"")="",IFERROR(INDEX(Raw_Financials!$J$2:$J$76, MATCH(1, (Raw_Financials!$A$2:$A$76="Gujarat Fluorochemicals")*(Raw_Financials!$B$2:$B$76="2020"),0)+1),"")=""),"",(IFERROR(INDEX(Raw_Financials!$N$2:$N$76, MATCH(1, (Raw_Financials!$A$2:$A$76="Gujarat Fluorochemicals")*(Raw_Financials!$B$2:$B$76="2020"),0)+1),""))-(IFERROR(INDEX(Raw_Financials!$J$2:$J$76, MATCH(1, (Raw_Financials!$A$2:$A$76="Gujarat Fluorochemicals")*(Raw_Financials!$B$2:$B$76="2020"),0)+1),"")))</f>
        <v>14756.88</v>
      </c>
      <c r="J22" cm="1">
        <f t="array" ref="J22">IF(OR(IFERROR(INDEX(Raw_Financials!$M$2:$M$76, MATCH(1, (Raw_Financials!$A$2:$A$76="Gujarat Fluorochemicals")*(Raw_Financials!$B$2:$B$76="2020"),0)+1),"")="",IFERROR(INDEX(Raw_Financials!$C$2:$C$76, MATCH(1, (Raw_Financials!$A$2:$A$76="Gujarat Fluorochemicals")*(Raw_Financials!$B$2:$B$76="2020"),0)+1),"")=""),"",(IFERROR(INDEX(Raw_Financials!$M$2:$M$76, MATCH(1, (Raw_Financials!$A$2:$A$76="Gujarat Fluorochemicals")*(Raw_Financials!$B$2:$B$76="2020"),0)+1),""))/(IFERROR(INDEX(Raw_Financials!$C$2:$C$76, MATCH(1, (Raw_Financials!$A$2:$A$76="Gujarat Fluorochemicals")*(Raw_Financials!$B$2:$B$76="2020"),0)+1),"")))</f>
        <v>0.41402130581077751</v>
      </c>
      <c r="K22" cm="1">
        <f t="array" ref="K22">IF(OR(IFERROR(INDEX(Raw_ESG!$C$2:$C$76, MATCH(1, (Raw_ESG!$A$2:$A$76="Gujarat Fluorochemicals")*(Raw_ESG!$B$2:$B$76="2020"),0)+1),"")="",IFERROR(INDEX(Raw_Financials!$J$2:$J$76, MATCH(1, (Raw_Financials!$A$2:$A$76="Gujarat Fluorochemicals")*(Raw_Financials!$B$2:$B$76="2020"),0)+1),"")=""),"",(IFERROR(INDEX(Raw_ESG!$C$2:$C$76, MATCH(1, (Raw_ESG!$A$2:$A$76="Gujarat Fluorochemicals")*(Raw_ESG!$B$2:$B$76="2020"),0)+1),""))/(IFERROR(INDEX(Raw_Financials!$J$2:$J$76, MATCH(1, (Raw_Financials!$A$2:$A$76="Gujarat Fluorochemicals")*(Raw_Financials!$B$2:$B$76="2020"),0)+1),"")))</f>
        <v>0.27559716151653557</v>
      </c>
      <c r="L22" cm="1">
        <f t="array" ref="L22">IF(OR(IFERROR(INDEX(Raw_ESG!$D$2:$D$76, MATCH(1, (Raw_ESG!$A$2:$A$76="Gujarat Fluorochemicals")*(Raw_ESG!$B$2:$B$76="2020"),0)+1),"")="",IFERROR(INDEX(Raw_Financials!$E$2:$E$76, MATCH(1, (Raw_Financials!$A$2:$A$76="Gujarat Fluorochemicals")*(Raw_Financials!$B$2:$B$76="2020"),0)+1),"")=""),"",(IFERROR(INDEX(Raw_ESG!$D$2:$D$76, MATCH(1, (Raw_ESG!$A$2:$A$76="Gujarat Fluorochemicals")*(Raw_ESG!$B$2:$B$76="2020"),0)+1),""))/(IFERROR(INDEX(Raw_Financials!$E$2:$E$76, MATCH(1, (Raw_Financials!$A$2:$A$76="Gujarat Fluorochemicals")*(Raw_Financials!$B$2:$B$76="2020"),0)+1),"")))</f>
        <v>0.20253311701717377</v>
      </c>
      <c r="M22" cm="1">
        <f t="array" ref="M22">IF(OR(IFERROR(INDEX(Raw_ESG!$E$2:$E$76, MATCH(1, (Raw_ESG!$A$2:$A$76="Gujarat Fluorochemicals")*(Raw_ESG!$B$2:$B$76="2020"),0)+1),"")="",IFERROR(INDEX(Raw_ESG!$F$2:$F$76, MATCH(1, (Raw_ESG!$A$2:$A$76="Gujarat Fluorochemicals")*(Raw_ESG!$B$2:$B$76="2020"),0)+1),"")=""),"",(IFERROR(INDEX(Raw_ESG!$E$2:$E$76, MATCH(1, (Raw_ESG!$A$2:$A$76="Gujarat Fluorochemicals")*(Raw_ESG!$B$2:$B$76="2020"),0)+1),""))+(IFERROR(INDEX(Raw_ESG!$F$2:$F$76, MATCH(1, (Raw_ESG!$A$2:$A$76="Gujarat Fluorochemicals")*(Raw_ESG!$B$2:$B$76="2020"),0)+1),"")))</f>
        <v>98067.989999999991</v>
      </c>
      <c r="N22" cm="1">
        <f t="array" ref="N22">IFERROR(INDEX(Raw_ESG!$G$2:$G$76, MATCH(1, (Raw_ESG!$A$2:$A$76="Gujarat Fluorochemicals")*(Raw_ESG!$B$2:$B$76="2020"),0)+1),"")</f>
        <v>75.73</v>
      </c>
    </row>
    <row r="23" spans="1:14" x14ac:dyDescent="0.35">
      <c r="A23" t="s">
        <v>6</v>
      </c>
      <c r="B23" t="s">
        <v>34</v>
      </c>
      <c r="C23" cm="1">
        <f t="array" ref="C23">IF(OR(IFERROR(INDEX(Raw_Financials!$E$2:$E$76, MATCH(1, (Raw_Financials!$A$2:$A$76="Gujarat Fluorochemicals")*(Raw_Financials!$B$2:$B$76="2021"),0)+1),"")="",IFERROR(INDEX(Raw_Financials!$D$2:$D$76, MATCH(1, (Raw_Financials!$A$2:$A$76="Gujarat Fluorochemicals")*(Raw_Financials!$B$2:$B$76="2021"),0)+1),"")=""),"",(IFERROR(INDEX(Raw_Financials!$D$2:$D$76, MATCH(1, (Raw_Financials!$A$2:$A$76="Gujarat Fluorochemicals")*(Raw_Financials!$B$2:$B$76="2021"),0)+1),""))/(IFERROR(INDEX(Raw_Financials!$E$2:$E$76, MATCH(1, (Raw_Financials!$A$2:$A$76="Gujarat Fluorochemicals")*(Raw_Financials!$B$2:$B$76="2021"),0)+1),"")))</f>
        <v>0.13041599024974657</v>
      </c>
      <c r="D23" cm="1">
        <f t="array" ref="D23">IF(OR(IFERROR(INDEX(Raw_Financials!$E$2:$E$76, MATCH(1, (Raw_Financials!$A$2:$A$76="Gujarat Fluorochemicals")*(Raw_Financials!$B$2:$B$76="2021"),0)+1),"")="",IFERROR(INDEX(Raw_Financials!$C$2:$C$76, MATCH(1, (Raw_Financials!$A$2:$A$76="Gujarat Fluorochemicals")*(Raw_Financials!$B$2:$B$76="2021"),0)+1),"")=""),"",(IFERROR(INDEX(Raw_Financials!$C$2:$C$76, MATCH(1, (Raw_Financials!$A$2:$A$76="Gujarat Fluorochemicals")*(Raw_Financials!$B$2:$B$76="2021"),0)+1),""))/(IFERROR(INDEX(Raw_Financials!$E$2:$E$76, MATCH(1, (Raw_Financials!$A$2:$A$76="Gujarat Fluorochemicals")*(Raw_Financials!$B$2:$B$76="2021"),0)+1),"")))</f>
        <v>0.55468083964778192</v>
      </c>
      <c r="E23" cm="1">
        <f t="array" ref="E23">IF(OR(IFERROR(INDEX(Raw_Financials!$G$2:$G$76, MATCH(1, (Raw_Financials!$A$2:$A$76="Gujarat Fluorochemicals")*(Raw_Financials!$B$2:$B$76="2021"),0)+1),"")="",IFERROR(INDEX(Raw_Financials!$H$2:$H$76, MATCH(1, (Raw_Financials!$A$2:$A$76="Gujarat Fluorochemicals")*(Raw_Financials!$B$2:$B$76="2021"),0)+1),"")=""),"",(IFERROR(INDEX(Raw_Financials!$G$2:$G$76, MATCH(1, (Raw_Financials!$A$2:$A$76="Gujarat Fluorochemicals")*(Raw_Financials!$B$2:$B$76="2021"),0)+1),""))-(IFERROR(INDEX(Raw_Financials!$H$2:$H$76, MATCH(1, (Raw_Financials!$A$2:$A$76="Gujarat Fluorochemicals")*(Raw_Financials!$B$2:$B$76="2021"),0)+1),"")))</f>
        <v>5618.25</v>
      </c>
      <c r="F23" cm="1">
        <f t="array" ref="F23">IF(OR(IFERROR(INDEX(Raw_Financials!$C$2:$C$76, MATCH(1, (Raw_Financials!$A$2:$A$76="Gujarat Fluorochemicals")*(Raw_Financials!$B$2:$B$76="2021"),0)+1),"")="",IF(OR(IFERROR(INDEX(Raw_Financials!$G$2:$G$76, MATCH(1, (Raw_Financials!$A$2:$A$76="Gujarat Fluorochemicals")*(Raw_Financials!$B$2:$B$76="2021"),0)+1),"")="",IFERROR(INDEX(Raw_Financials!$H$2:$H$76, MATCH(1, (Raw_Financials!$A$2:$A$76="Gujarat Fluorochemicals")*(Raw_Financials!$B$2:$B$76="2021"),0)+1),"")=""),"",(IFERROR(INDEX(Raw_Financials!$G$2:$G$76, MATCH(1, (Raw_Financials!$A$2:$A$76="Gujarat Fluorochemicals")*(Raw_Financials!$B$2:$B$76="2021"),0)+1),""))-(IFERROR(INDEX(Raw_Financials!$H$2:$H$76, MATCH(1, (Raw_Financials!$A$2:$A$76="Gujarat Fluorochemicals")*(Raw_Financials!$B$2:$B$76="2021"),0)+1),"")))=""),"",(IFERROR(INDEX(Raw_Financials!$C$2:$C$76, MATCH(1, (Raw_Financials!$A$2:$A$76="Gujarat Fluorochemicals")*(Raw_Financials!$B$2:$B$76="2021"),0)+1),""))/(IF(OR(IFERROR(INDEX(Raw_Financials!$G$2:$G$76, MATCH(1, (Raw_Financials!$A$2:$A$76="Gujarat Fluorochemicals")*(Raw_Financials!$B$2:$B$76="2021"),0)+1),"")="",IFERROR(INDEX(Raw_Financials!$H$2:$H$76, MATCH(1, (Raw_Financials!$A$2:$A$76="Gujarat Fluorochemicals")*(Raw_Financials!$B$2:$B$76="2021"),0)+1),"")=""),"",(IFERROR(INDEX(Raw_Financials!$G$2:$G$76, MATCH(1, (Raw_Financials!$A$2:$A$76="Gujarat Fluorochemicals")*(Raw_Financials!$B$2:$B$76="2021"),0)+1),""))-(IFERROR(INDEX(Raw_Financials!$H$2:$H$76, MATCH(1, (Raw_Financials!$A$2:$A$76="Gujarat Fluorochemicals")*(Raw_Financials!$B$2:$B$76="2021"),0)+1),"")))))</f>
        <v>7.6177866773461487</v>
      </c>
      <c r="G23" cm="1">
        <f t="array" ref="G23">IF(OR(IFERROR(INDEX(Raw_Financials!$O$2:$O$76, MATCH(1, (Raw_Financials!$A$2:$A$76="Gujarat Fluorochemicals")*(Raw_Financials!$B$2:$B$76="2021"),0)+1),"")="",IFERROR(INDEX(Raw_Financials!$M$2:$M$76, MATCH(1, (Raw_Financials!$A$2:$A$76="Gujarat Fluorochemicals")*(Raw_Financials!$B$2:$B$76="2021"),0)+1),"")=""),"",(IFERROR(INDEX(Raw_Financials!$O$2:$O$76, MATCH(1, (Raw_Financials!$A$2:$A$76="Gujarat Fluorochemicals")*(Raw_Financials!$B$2:$B$76="2021"),0)+1),""))/(IFERROR(INDEX(Raw_Financials!$M$2:$M$76, MATCH(1, (Raw_Financials!$A$2:$A$76="Gujarat Fluorochemicals")*(Raw_Financials!$B$2:$B$76="2021"),0)+1),"")))</f>
        <v>1.6972341107848197</v>
      </c>
      <c r="H23" cm="1">
        <f t="array" ref="H23">IF(OR(IFERROR(INDEX(Raw_Financials!$M$2:$M$76, MATCH(1, (Raw_Financials!$A$2:$A$76="Gujarat Fluorochemicals")*(Raw_Financials!$B$2:$B$76="2021"),0)+1),"")="",IFERROR(INDEX(Raw_Financials!$L$2:$L$76, MATCH(1, (Raw_Financials!$A$2:$A$76="Gujarat Fluorochemicals")*(Raw_Financials!$B$2:$B$76="2021"),0)+1),"")=""),"",(IFERROR(INDEX(Raw_Financials!$M$2:$M$76, MATCH(1, (Raw_Financials!$A$2:$A$76="Gujarat Fluorochemicals")*(Raw_Financials!$B$2:$B$76="2021"),0)+1),""))/(IFERROR(INDEX(Raw_Financials!$L$2:$L$76, MATCH(1, (Raw_Financials!$A$2:$A$76="Gujarat Fluorochemicals")*(Raw_Financials!$B$2:$B$76="2021"),0)+1),"")))</f>
        <v>6.634724689462292</v>
      </c>
      <c r="I23" cm="1">
        <f t="array" ref="I23">IF(OR(IFERROR(INDEX(Raw_Financials!$N$2:$N$76, MATCH(1, (Raw_Financials!$A$2:$A$76="Gujarat Fluorochemicals")*(Raw_Financials!$B$2:$B$76="2021"),0)+1),"")="",IFERROR(INDEX(Raw_Financials!$J$2:$J$76, MATCH(1, (Raw_Financials!$A$2:$A$76="Gujarat Fluorochemicals")*(Raw_Financials!$B$2:$B$76="2021"),0)+1),"")=""),"",(IFERROR(INDEX(Raw_Financials!$N$2:$N$76, MATCH(1, (Raw_Financials!$A$2:$A$76="Gujarat Fluorochemicals")*(Raw_Financials!$B$2:$B$76="2021"),0)+1),""))-(IFERROR(INDEX(Raw_Financials!$J$2:$J$76, MATCH(1, (Raw_Financials!$A$2:$A$76="Gujarat Fluorochemicals")*(Raw_Financials!$B$2:$B$76="2021"),0)+1),"")))</f>
        <v>12300.210000000001</v>
      </c>
      <c r="J23" cm="1">
        <f t="array" ref="J23">IF(OR(IFERROR(INDEX(Raw_Financials!$M$2:$M$76, MATCH(1, (Raw_Financials!$A$2:$A$76="Gujarat Fluorochemicals")*(Raw_Financials!$B$2:$B$76="2021"),0)+1),"")="",IFERROR(INDEX(Raw_Financials!$C$2:$C$76, MATCH(1, (Raw_Financials!$A$2:$A$76="Gujarat Fluorochemicals")*(Raw_Financials!$B$2:$B$76="2021"),0)+1),"")=""),"",(IFERROR(INDEX(Raw_Financials!$M$2:$M$76, MATCH(1, (Raw_Financials!$A$2:$A$76="Gujarat Fluorochemicals")*(Raw_Financials!$B$2:$B$76="2021"),0)+1),""))/(IFERROR(INDEX(Raw_Financials!$C$2:$C$76, MATCH(1, (Raw_Financials!$A$2:$A$76="Gujarat Fluorochemicals")*(Raw_Financials!$B$2:$B$76="2021"),0)+1),"")))</f>
        <v>0.46338679532499055</v>
      </c>
      <c r="K23" cm="1">
        <f t="array" ref="K23">IF(OR(IFERROR(INDEX(Raw_ESG!$C$2:$C$76, MATCH(1, (Raw_ESG!$A$2:$A$76="Gujarat Fluorochemicals")*(Raw_ESG!$B$2:$B$76="2021"),0)+1),"")="",IFERROR(INDEX(Raw_Financials!$J$2:$J$76, MATCH(1, (Raw_Financials!$A$2:$A$76="Gujarat Fluorochemicals")*(Raw_Financials!$B$2:$B$76="2021"),0)+1),"")=""),"",(IFERROR(INDEX(Raw_ESG!$C$2:$C$76, MATCH(1, (Raw_ESG!$A$2:$A$76="Gujarat Fluorochemicals")*(Raw_ESG!$B$2:$B$76="2021"),0)+1),""))/(IFERROR(INDEX(Raw_Financials!$J$2:$J$76, MATCH(1, (Raw_Financials!$A$2:$A$76="Gujarat Fluorochemicals")*(Raw_Financials!$B$2:$B$76="2021"),0)+1),"")))</f>
        <v>0.329056924807545</v>
      </c>
      <c r="L23" cm="1">
        <f t="array" ref="L23">IF(OR(IFERROR(INDEX(Raw_ESG!$D$2:$D$76, MATCH(1, (Raw_ESG!$A$2:$A$76="Gujarat Fluorochemicals")*(Raw_ESG!$B$2:$B$76="2021"),0)+1),"")="",IFERROR(INDEX(Raw_Financials!$E$2:$E$76, MATCH(1, (Raw_Financials!$A$2:$A$76="Gujarat Fluorochemicals")*(Raw_Financials!$B$2:$B$76="2021"),0)+1),"")=""),"",(IFERROR(INDEX(Raw_ESG!$D$2:$D$76, MATCH(1, (Raw_ESG!$A$2:$A$76="Gujarat Fluorochemicals")*(Raw_ESG!$B$2:$B$76="2021"),0)+1),""))/(IFERROR(INDEX(Raw_Financials!$E$2:$E$76, MATCH(1, (Raw_Financials!$A$2:$A$76="Gujarat Fluorochemicals")*(Raw_Financials!$B$2:$B$76="2021"),0)+1),"")))</f>
        <v>0.24042321947583054</v>
      </c>
      <c r="M23" cm="1">
        <f t="array" ref="M23">IF(OR(IFERROR(INDEX(Raw_ESG!$E$2:$E$76, MATCH(1, (Raw_ESG!$A$2:$A$76="Gujarat Fluorochemicals")*(Raw_ESG!$B$2:$B$76="2021"),0)+1),"")="",IFERROR(INDEX(Raw_ESG!$F$2:$F$76, MATCH(1, (Raw_ESG!$A$2:$A$76="Gujarat Fluorochemicals")*(Raw_ESG!$B$2:$B$76="2021"),0)+1),"")=""),"",(IFERROR(INDEX(Raw_ESG!$E$2:$E$76, MATCH(1, (Raw_ESG!$A$2:$A$76="Gujarat Fluorochemicals")*(Raw_ESG!$B$2:$B$76="2021"),0)+1),""))+(IFERROR(INDEX(Raw_ESG!$F$2:$F$76, MATCH(1, (Raw_ESG!$A$2:$A$76="Gujarat Fluorochemicals")*(Raw_ESG!$B$2:$B$76="2021"),0)+1),"")))</f>
        <v>174542.05</v>
      </c>
      <c r="N23" cm="1">
        <f t="array" ref="N23">IFERROR(INDEX(Raw_ESG!$G$2:$G$76, MATCH(1, (Raw_ESG!$A$2:$A$76="Gujarat Fluorochemicals")*(Raw_ESG!$B$2:$B$76="2021"),0)+1),"")</f>
        <v>73.010000000000005</v>
      </c>
    </row>
    <row r="24" spans="1:14" x14ac:dyDescent="0.35">
      <c r="A24" t="s">
        <v>6</v>
      </c>
      <c r="B24" t="s">
        <v>35</v>
      </c>
      <c r="C24" cm="1">
        <f t="array" ref="C24">IF(OR(IFERROR(INDEX(Raw_Financials!$E$2:$E$76, MATCH(1, (Raw_Financials!$A$2:$A$76="Gujarat Fluorochemicals")*(Raw_Financials!$B$2:$B$76="2022"),0)+1),"")="",IFERROR(INDEX(Raw_Financials!$D$2:$D$76, MATCH(1, (Raw_Financials!$A$2:$A$76="Gujarat Fluorochemicals")*(Raw_Financials!$B$2:$B$76="2022"),0)+1),"")=""),"",(IFERROR(INDEX(Raw_Financials!$D$2:$D$76, MATCH(1, (Raw_Financials!$A$2:$A$76="Gujarat Fluorochemicals")*(Raw_Financials!$B$2:$B$76="2022"),0)+1),""))/(IFERROR(INDEX(Raw_Financials!$E$2:$E$76, MATCH(1, (Raw_Financials!$A$2:$A$76="Gujarat Fluorochemicals")*(Raw_Financials!$B$2:$B$76="2022"),0)+1),"")))</f>
        <v>0.11101758529798668</v>
      </c>
      <c r="D24" cm="1">
        <f t="array" ref="D24">IF(OR(IFERROR(INDEX(Raw_Financials!$E$2:$E$76, MATCH(1, (Raw_Financials!$A$2:$A$76="Gujarat Fluorochemicals")*(Raw_Financials!$B$2:$B$76="2022"),0)+1),"")="",IFERROR(INDEX(Raw_Financials!$C$2:$C$76, MATCH(1, (Raw_Financials!$A$2:$A$76="Gujarat Fluorochemicals")*(Raw_Financials!$B$2:$B$76="2022"),0)+1),"")=""),"",(IFERROR(INDEX(Raw_Financials!$C$2:$C$76, MATCH(1, (Raw_Financials!$A$2:$A$76="Gujarat Fluorochemicals")*(Raw_Financials!$B$2:$B$76="2022"),0)+1),""))/(IFERROR(INDEX(Raw_Financials!$E$2:$E$76, MATCH(1, (Raw_Financials!$A$2:$A$76="Gujarat Fluorochemicals")*(Raw_Financials!$B$2:$B$76="2022"),0)+1),"")))</f>
        <v>0.68209659199272332</v>
      </c>
      <c r="E24" cm="1">
        <f t="array" ref="E24">IF(OR(IFERROR(INDEX(Raw_Financials!$G$2:$G$76, MATCH(1, (Raw_Financials!$A$2:$A$76="Gujarat Fluorochemicals")*(Raw_Financials!$B$2:$B$76="2022"),0)+1),"")="",IFERROR(INDEX(Raw_Financials!$H$2:$H$76, MATCH(1, (Raw_Financials!$A$2:$A$76="Gujarat Fluorochemicals")*(Raw_Financials!$B$2:$B$76="2022"),0)+1),"")=""),"",(IFERROR(INDEX(Raw_Financials!$G$2:$G$76, MATCH(1, (Raw_Financials!$A$2:$A$76="Gujarat Fluorochemicals")*(Raw_Financials!$B$2:$B$76="2022"),0)+1),""))-(IFERROR(INDEX(Raw_Financials!$H$2:$H$76, MATCH(1, (Raw_Financials!$A$2:$A$76="Gujarat Fluorochemicals")*(Raw_Financials!$B$2:$B$76="2022"),0)+1),"")))</f>
        <v>14940.310000000001</v>
      </c>
      <c r="F24" cm="1">
        <f t="array" ref="F24">IF(OR(IFERROR(INDEX(Raw_Financials!$C$2:$C$76, MATCH(1, (Raw_Financials!$A$2:$A$76="Gujarat Fluorochemicals")*(Raw_Financials!$B$2:$B$76="2022"),0)+1),"")="",IF(OR(IFERROR(INDEX(Raw_Financials!$G$2:$G$76, MATCH(1, (Raw_Financials!$A$2:$A$76="Gujarat Fluorochemicals")*(Raw_Financials!$B$2:$B$76="2022"),0)+1),"")="",IFERROR(INDEX(Raw_Financials!$H$2:$H$76, MATCH(1, (Raw_Financials!$A$2:$A$76="Gujarat Fluorochemicals")*(Raw_Financials!$B$2:$B$76="2022"),0)+1),"")=""),"",(IFERROR(INDEX(Raw_Financials!$G$2:$G$76, MATCH(1, (Raw_Financials!$A$2:$A$76="Gujarat Fluorochemicals")*(Raw_Financials!$B$2:$B$76="2022"),0)+1),""))-(IFERROR(INDEX(Raw_Financials!$H$2:$H$76, MATCH(1, (Raw_Financials!$A$2:$A$76="Gujarat Fluorochemicals")*(Raw_Financials!$B$2:$B$76="2022"),0)+1),"")))=""),"",(IFERROR(INDEX(Raw_Financials!$C$2:$C$76, MATCH(1, (Raw_Financials!$A$2:$A$76="Gujarat Fluorochemicals")*(Raw_Financials!$B$2:$B$76="2022"),0)+1),""))/(IF(OR(IFERROR(INDEX(Raw_Financials!$G$2:$G$76, MATCH(1, (Raw_Financials!$A$2:$A$76="Gujarat Fluorochemicals")*(Raw_Financials!$B$2:$B$76="2022"),0)+1),"")="",IFERROR(INDEX(Raw_Financials!$H$2:$H$76, MATCH(1, (Raw_Financials!$A$2:$A$76="Gujarat Fluorochemicals")*(Raw_Financials!$B$2:$B$76="2022"),0)+1),"")=""),"",(IFERROR(INDEX(Raw_Financials!$G$2:$G$76, MATCH(1, (Raw_Financials!$A$2:$A$76="Gujarat Fluorochemicals")*(Raw_Financials!$B$2:$B$76="2022"),0)+1),""))-(IFERROR(INDEX(Raw_Financials!$H$2:$H$76, MATCH(1, (Raw_Financials!$A$2:$A$76="Gujarat Fluorochemicals")*(Raw_Financials!$B$2:$B$76="2022"),0)+1),"")))))</f>
        <v>3.734360264278318</v>
      </c>
      <c r="G24" cm="1">
        <f t="array" ref="G24">IF(OR(IFERROR(INDEX(Raw_Financials!$O$2:$O$76, MATCH(1, (Raw_Financials!$A$2:$A$76="Gujarat Fluorochemicals")*(Raw_Financials!$B$2:$B$76="2022"),0)+1),"")="",IFERROR(INDEX(Raw_Financials!$M$2:$M$76, MATCH(1, (Raw_Financials!$A$2:$A$76="Gujarat Fluorochemicals")*(Raw_Financials!$B$2:$B$76="2022"),0)+1),"")=""),"",(IFERROR(INDEX(Raw_Financials!$O$2:$O$76, MATCH(1, (Raw_Financials!$A$2:$A$76="Gujarat Fluorochemicals")*(Raw_Financials!$B$2:$B$76="2022"),0)+1),""))/(IFERROR(INDEX(Raw_Financials!$M$2:$M$76, MATCH(1, (Raw_Financials!$A$2:$A$76="Gujarat Fluorochemicals")*(Raw_Financials!$B$2:$B$76="2022"),0)+1),"")))</f>
        <v>2.3760440013497668</v>
      </c>
      <c r="H24" cm="1">
        <f t="array" ref="H24">IF(OR(IFERROR(INDEX(Raw_Financials!$M$2:$M$76, MATCH(1, (Raw_Financials!$A$2:$A$76="Gujarat Fluorochemicals")*(Raw_Financials!$B$2:$B$76="2022"),0)+1),"")="",IFERROR(INDEX(Raw_Financials!$L$2:$L$76, MATCH(1, (Raw_Financials!$A$2:$A$76="Gujarat Fluorochemicals")*(Raw_Financials!$B$2:$B$76="2022"),0)+1),"")=""),"",(IFERROR(INDEX(Raw_Financials!$M$2:$M$76, MATCH(1, (Raw_Financials!$A$2:$A$76="Gujarat Fluorochemicals")*(Raw_Financials!$B$2:$B$76="2022"),0)+1),""))/(IFERROR(INDEX(Raw_Financials!$L$2:$L$76, MATCH(1, (Raw_Financials!$A$2:$A$76="Gujarat Fluorochemicals")*(Raw_Financials!$B$2:$B$76="2022"),0)+1),"")))</f>
        <v>8.0089980510649035</v>
      </c>
      <c r="I24" cm="1">
        <f t="array" ref="I24">IF(OR(IFERROR(INDEX(Raw_Financials!$N$2:$N$76, MATCH(1, (Raw_Financials!$A$2:$A$76="Gujarat Fluorochemicals")*(Raw_Financials!$B$2:$B$76="2022"),0)+1),"")="",IFERROR(INDEX(Raw_Financials!$J$2:$J$76, MATCH(1, (Raw_Financials!$A$2:$A$76="Gujarat Fluorochemicals")*(Raw_Financials!$B$2:$B$76="2022"),0)+1),"")=""),"",(IFERROR(INDEX(Raw_Financials!$N$2:$N$76, MATCH(1, (Raw_Financials!$A$2:$A$76="Gujarat Fluorochemicals")*(Raw_Financials!$B$2:$B$76="2022"),0)+1),""))-(IFERROR(INDEX(Raw_Financials!$J$2:$J$76, MATCH(1, (Raw_Financials!$A$2:$A$76="Gujarat Fluorochemicals")*(Raw_Financials!$B$2:$B$76="2022"),0)+1),"")))</f>
        <v>1575.8400000000001</v>
      </c>
      <c r="J24" cm="1">
        <f t="array" ref="J24">IF(OR(IFERROR(INDEX(Raw_Financials!$M$2:$M$76, MATCH(1, (Raw_Financials!$A$2:$A$76="Gujarat Fluorochemicals")*(Raw_Financials!$B$2:$B$76="2022"),0)+1),"")="",IFERROR(INDEX(Raw_Financials!$C$2:$C$76, MATCH(1, (Raw_Financials!$A$2:$A$76="Gujarat Fluorochemicals")*(Raw_Financials!$B$2:$B$76="2022"),0)+1),"")=""),"",(IFERROR(INDEX(Raw_Financials!$M$2:$M$76, MATCH(1, (Raw_Financials!$A$2:$A$76="Gujarat Fluorochemicals")*(Raw_Financials!$B$2:$B$76="2022"),0)+1),""))/(IFERROR(INDEX(Raw_Financials!$C$2:$C$76, MATCH(1, (Raw_Financials!$A$2:$A$76="Gujarat Fluorochemicals")*(Raw_Financials!$B$2:$B$76="2022"),0)+1),"")))</f>
        <v>0.40952439844065064</v>
      </c>
      <c r="K24" cm="1">
        <f t="array" ref="K24">IF(OR(IFERROR(INDEX(Raw_ESG!$C$2:$C$76, MATCH(1, (Raw_ESG!$A$2:$A$76="Gujarat Fluorochemicals")*(Raw_ESG!$B$2:$B$76="2022"),0)+1),"")="",IFERROR(INDEX(Raw_Financials!$J$2:$J$76, MATCH(1, (Raw_Financials!$A$2:$A$76="Gujarat Fluorochemicals")*(Raw_Financials!$B$2:$B$76="2022"),0)+1),"")=""),"",(IFERROR(INDEX(Raw_ESG!$C$2:$C$76, MATCH(1, (Raw_ESG!$A$2:$A$76="Gujarat Fluorochemicals")*(Raw_ESG!$B$2:$B$76="2022"),0)+1),""))/(IFERROR(INDEX(Raw_Financials!$J$2:$J$76, MATCH(1, (Raw_Financials!$A$2:$A$76="Gujarat Fluorochemicals")*(Raw_Financials!$B$2:$B$76="2022"),0)+1),"")))</f>
        <v>0.37385280324227105</v>
      </c>
      <c r="L24" cm="1">
        <f t="array" ref="L24">IF(OR(IFERROR(INDEX(Raw_ESG!$D$2:$D$76, MATCH(1, (Raw_ESG!$A$2:$A$76="Gujarat Fluorochemicals")*(Raw_ESG!$B$2:$B$76="2022"),0)+1),"")="",IFERROR(INDEX(Raw_Financials!$E$2:$E$76, MATCH(1, (Raw_Financials!$A$2:$A$76="Gujarat Fluorochemicals")*(Raw_Financials!$B$2:$B$76="2022"),0)+1),"")=""),"",(IFERROR(INDEX(Raw_ESG!$D$2:$D$76, MATCH(1, (Raw_ESG!$A$2:$A$76="Gujarat Fluorochemicals")*(Raw_ESG!$B$2:$B$76="2022"),0)+1),""))/(IFERROR(INDEX(Raw_Financials!$E$2:$E$76, MATCH(1, (Raw_Financials!$A$2:$A$76="Gujarat Fluorochemicals")*(Raw_Financials!$B$2:$B$76="2022"),0)+1),"")))</f>
        <v>0.12847121361051203</v>
      </c>
      <c r="M24" cm="1">
        <f t="array" ref="M24">IF(OR(IFERROR(INDEX(Raw_ESG!$E$2:$E$76, MATCH(1, (Raw_ESG!$A$2:$A$76="Gujarat Fluorochemicals")*(Raw_ESG!$B$2:$B$76="2022"),0)+1),"")="",IFERROR(INDEX(Raw_ESG!$F$2:$F$76, MATCH(1, (Raw_ESG!$A$2:$A$76="Gujarat Fluorochemicals")*(Raw_ESG!$B$2:$B$76="2022"),0)+1),"")=""),"",(IFERROR(INDEX(Raw_ESG!$E$2:$E$76, MATCH(1, (Raw_ESG!$A$2:$A$76="Gujarat Fluorochemicals")*(Raw_ESG!$B$2:$B$76="2022"),0)+1),""))+(IFERROR(INDEX(Raw_ESG!$F$2:$F$76, MATCH(1, (Raw_ESG!$A$2:$A$76="Gujarat Fluorochemicals")*(Raw_ESG!$B$2:$B$76="2022"),0)+1),"")))</f>
        <v>145830.58000000002</v>
      </c>
      <c r="N24" cm="1">
        <f t="array" ref="N24">IFERROR(INDEX(Raw_ESG!$G$2:$G$76, MATCH(1, (Raw_ESG!$A$2:$A$76="Gujarat Fluorochemicals")*(Raw_ESG!$B$2:$B$76="2022"),0)+1),"")</f>
        <v>54</v>
      </c>
    </row>
    <row r="25" spans="1:14" x14ac:dyDescent="0.35">
      <c r="A25" t="s">
        <v>6</v>
      </c>
      <c r="B25" t="s">
        <v>36</v>
      </c>
      <c r="C25" cm="1">
        <f t="array" ref="C25">IF(OR(IFERROR(INDEX(Raw_Financials!$E$2:$E$76, MATCH(1, (Raw_Financials!$A$2:$A$76="Gujarat Fluorochemicals")*(Raw_Financials!$B$2:$B$76="2023"),0)+1),"")="",IFERROR(INDEX(Raw_Financials!$D$2:$D$76, MATCH(1, (Raw_Financials!$A$2:$A$76="Gujarat Fluorochemicals")*(Raw_Financials!$B$2:$B$76="2023"),0)+1),"")=""),"",(IFERROR(INDEX(Raw_Financials!$D$2:$D$76, MATCH(1, (Raw_Financials!$A$2:$A$76="Gujarat Fluorochemicals")*(Raw_Financials!$B$2:$B$76="2023"),0)+1),""))/(IFERROR(INDEX(Raw_Financials!$E$2:$E$76, MATCH(1, (Raw_Financials!$A$2:$A$76="Gujarat Fluorochemicals")*(Raw_Financials!$B$2:$B$76="2023"),0)+1),"")))</f>
        <v>6.363184720971006E-2</v>
      </c>
      <c r="D25" cm="1">
        <f t="array" ref="D25">IF(OR(IFERROR(INDEX(Raw_Financials!$E$2:$E$76, MATCH(1, (Raw_Financials!$A$2:$A$76="Gujarat Fluorochemicals")*(Raw_Financials!$B$2:$B$76="2023"),0)+1),"")="",IFERROR(INDEX(Raw_Financials!$C$2:$C$76, MATCH(1, (Raw_Financials!$A$2:$A$76="Gujarat Fluorochemicals")*(Raw_Financials!$B$2:$B$76="2023"),0)+1),"")=""),"",(IFERROR(INDEX(Raw_Financials!$C$2:$C$76, MATCH(1, (Raw_Financials!$A$2:$A$76="Gujarat Fluorochemicals")*(Raw_Financials!$B$2:$B$76="2023"),0)+1),""))/(IFERROR(INDEX(Raw_Financials!$E$2:$E$76, MATCH(1, (Raw_Financials!$A$2:$A$76="Gujarat Fluorochemicals")*(Raw_Financials!$B$2:$B$76="2023"),0)+1),"")))</f>
        <v>0.30895463709544169</v>
      </c>
      <c r="E25" cm="1">
        <f t="array" ref="E25">IF(OR(IFERROR(INDEX(Raw_Financials!$G$2:$G$76, MATCH(1, (Raw_Financials!$A$2:$A$76="Gujarat Fluorochemicals")*(Raw_Financials!$B$2:$B$76="2023"),0)+1),"")="",IFERROR(INDEX(Raw_Financials!$H$2:$H$76, MATCH(1, (Raw_Financials!$A$2:$A$76="Gujarat Fluorochemicals")*(Raw_Financials!$B$2:$B$76="2023"),0)+1),"")=""),"",(IFERROR(INDEX(Raw_Financials!$G$2:$G$76, MATCH(1, (Raw_Financials!$A$2:$A$76="Gujarat Fluorochemicals")*(Raw_Financials!$B$2:$B$76="2023"),0)+1),""))-(IFERROR(INDEX(Raw_Financials!$H$2:$H$76, MATCH(1, (Raw_Financials!$A$2:$A$76="Gujarat Fluorochemicals")*(Raw_Financials!$B$2:$B$76="2023"),0)+1),"")))</f>
        <v>31075.509999999995</v>
      </c>
      <c r="F25" cm="1">
        <f t="array" ref="F25">IF(OR(IFERROR(INDEX(Raw_Financials!$C$2:$C$76, MATCH(1, (Raw_Financials!$A$2:$A$76="Gujarat Fluorochemicals")*(Raw_Financials!$B$2:$B$76="2023"),0)+1),"")="",IF(OR(IFERROR(INDEX(Raw_Financials!$G$2:$G$76, MATCH(1, (Raw_Financials!$A$2:$A$76="Gujarat Fluorochemicals")*(Raw_Financials!$B$2:$B$76="2023"),0)+1),"")="",IFERROR(INDEX(Raw_Financials!$H$2:$H$76, MATCH(1, (Raw_Financials!$A$2:$A$76="Gujarat Fluorochemicals")*(Raw_Financials!$B$2:$B$76="2023"),0)+1),"")=""),"",(IFERROR(INDEX(Raw_Financials!$G$2:$G$76, MATCH(1, (Raw_Financials!$A$2:$A$76="Gujarat Fluorochemicals")*(Raw_Financials!$B$2:$B$76="2023"),0)+1),""))-(IFERROR(INDEX(Raw_Financials!$H$2:$H$76, MATCH(1, (Raw_Financials!$A$2:$A$76="Gujarat Fluorochemicals")*(Raw_Financials!$B$2:$B$76="2023"),0)+1),"")))=""),"",(IFERROR(INDEX(Raw_Financials!$C$2:$C$76, MATCH(1, (Raw_Financials!$A$2:$A$76="Gujarat Fluorochemicals")*(Raw_Financials!$B$2:$B$76="2023"),0)+1),""))/(IF(OR(IFERROR(INDEX(Raw_Financials!$G$2:$G$76, MATCH(1, (Raw_Financials!$A$2:$A$76="Gujarat Fluorochemicals")*(Raw_Financials!$B$2:$B$76="2023"),0)+1),"")="",IFERROR(INDEX(Raw_Financials!$H$2:$H$76, MATCH(1, (Raw_Financials!$A$2:$A$76="Gujarat Fluorochemicals")*(Raw_Financials!$B$2:$B$76="2023"),0)+1),"")=""),"",(IFERROR(INDEX(Raw_Financials!$G$2:$G$76, MATCH(1, (Raw_Financials!$A$2:$A$76="Gujarat Fluorochemicals")*(Raw_Financials!$B$2:$B$76="2023"),0)+1),""))-(IFERROR(INDEX(Raw_Financials!$H$2:$H$76, MATCH(1, (Raw_Financials!$A$2:$A$76="Gujarat Fluorochemicals")*(Raw_Financials!$B$2:$B$76="2023"),0)+1),"")))))</f>
        <v>1.4290513655286754</v>
      </c>
      <c r="G25" cm="1">
        <f t="array" ref="G25">IF(OR(IFERROR(INDEX(Raw_Financials!$O$2:$O$76, MATCH(1, (Raw_Financials!$A$2:$A$76="Gujarat Fluorochemicals")*(Raw_Financials!$B$2:$B$76="2023"),0)+1),"")="",IFERROR(INDEX(Raw_Financials!$M$2:$M$76, MATCH(1, (Raw_Financials!$A$2:$A$76="Gujarat Fluorochemicals")*(Raw_Financials!$B$2:$B$76="2023"),0)+1),"")=""),"",(IFERROR(INDEX(Raw_Financials!$O$2:$O$76, MATCH(1, (Raw_Financials!$A$2:$A$76="Gujarat Fluorochemicals")*(Raw_Financials!$B$2:$B$76="2023"),0)+1),""))/(IFERROR(INDEX(Raw_Financials!$M$2:$M$76, MATCH(1, (Raw_Financials!$A$2:$A$76="Gujarat Fluorochemicals")*(Raw_Financials!$B$2:$B$76="2023"),0)+1),"")))</f>
        <v>2.4736383489408738</v>
      </c>
      <c r="H25" cm="1">
        <f t="array" ref="H25">IF(OR(IFERROR(INDEX(Raw_Financials!$M$2:$M$76, MATCH(1, (Raw_Financials!$A$2:$A$76="Gujarat Fluorochemicals")*(Raw_Financials!$B$2:$B$76="2023"),0)+1),"")="",IFERROR(INDEX(Raw_Financials!$L$2:$L$76, MATCH(1, (Raw_Financials!$A$2:$A$76="Gujarat Fluorochemicals")*(Raw_Financials!$B$2:$B$76="2023"),0)+1),"")=""),"",(IFERROR(INDEX(Raw_Financials!$M$2:$M$76, MATCH(1, (Raw_Financials!$A$2:$A$76="Gujarat Fluorochemicals")*(Raw_Financials!$B$2:$B$76="2023"),0)+1),""))/(IFERROR(INDEX(Raw_Financials!$L$2:$L$76, MATCH(1, (Raw_Financials!$A$2:$A$76="Gujarat Fluorochemicals")*(Raw_Financials!$B$2:$B$76="2023"),0)+1),"")))</f>
        <v>4.2207101984326316</v>
      </c>
      <c r="I25" cm="1">
        <f t="array" ref="I25">IF(OR(IFERROR(INDEX(Raw_Financials!$N$2:$N$76, MATCH(1, (Raw_Financials!$A$2:$A$76="Gujarat Fluorochemicals")*(Raw_Financials!$B$2:$B$76="2023"),0)+1),"")="",IFERROR(INDEX(Raw_Financials!$J$2:$J$76, MATCH(1, (Raw_Financials!$A$2:$A$76="Gujarat Fluorochemicals")*(Raw_Financials!$B$2:$B$76="2023"),0)+1),"")=""),"",(IFERROR(INDEX(Raw_Financials!$N$2:$N$76, MATCH(1, (Raw_Financials!$A$2:$A$76="Gujarat Fluorochemicals")*(Raw_Financials!$B$2:$B$76="2023"),0)+1),""))-(IFERROR(INDEX(Raw_Financials!$J$2:$J$76, MATCH(1, (Raw_Financials!$A$2:$A$76="Gujarat Fluorochemicals")*(Raw_Financials!$B$2:$B$76="2023"),0)+1),"")))</f>
        <v>-1097.9600000000009</v>
      </c>
      <c r="J25" cm="1">
        <f t="array" ref="J25">IF(OR(IFERROR(INDEX(Raw_Financials!$M$2:$M$76, MATCH(1, (Raw_Financials!$A$2:$A$76="Gujarat Fluorochemicals")*(Raw_Financials!$B$2:$B$76="2023"),0)+1),"")="",IFERROR(INDEX(Raw_Financials!$C$2:$C$76, MATCH(1, (Raw_Financials!$A$2:$A$76="Gujarat Fluorochemicals")*(Raw_Financials!$B$2:$B$76="2023"),0)+1),"")=""),"",(IFERROR(INDEX(Raw_Financials!$M$2:$M$76, MATCH(1, (Raw_Financials!$A$2:$A$76="Gujarat Fluorochemicals")*(Raw_Financials!$B$2:$B$76="2023"),0)+1),""))/(IFERROR(INDEX(Raw_Financials!$C$2:$C$76, MATCH(1, (Raw_Financials!$A$2:$A$76="Gujarat Fluorochemicals")*(Raw_Financials!$B$2:$B$76="2023"),0)+1),"")))</f>
        <v>0.27056892261616583</v>
      </c>
      <c r="K25" cm="1">
        <f t="array" ref="K25">IF(OR(IFERROR(INDEX(Raw_ESG!$C$2:$C$76, MATCH(1, (Raw_ESG!$A$2:$A$76="Gujarat Fluorochemicals")*(Raw_ESG!$B$2:$B$76="2023"),0)+1),"")="",IFERROR(INDEX(Raw_Financials!$J$2:$J$76, MATCH(1, (Raw_Financials!$A$2:$A$76="Gujarat Fluorochemicals")*(Raw_Financials!$B$2:$B$76="2023"),0)+1),"")=""),"",(IFERROR(INDEX(Raw_ESG!$C$2:$C$76, MATCH(1, (Raw_ESG!$A$2:$A$76="Gujarat Fluorochemicals")*(Raw_ESG!$B$2:$B$76="2023"),0)+1),""))/(IFERROR(INDEX(Raw_Financials!$J$2:$J$76, MATCH(1, (Raw_Financials!$A$2:$A$76="Gujarat Fluorochemicals")*(Raw_Financials!$B$2:$B$76="2023"),0)+1),"")))</f>
        <v>0.34015345632514582</v>
      </c>
      <c r="L25" cm="1">
        <f t="array" ref="L25">IF(OR(IFERROR(INDEX(Raw_ESG!$D$2:$D$76, MATCH(1, (Raw_ESG!$A$2:$A$76="Gujarat Fluorochemicals")*(Raw_ESG!$B$2:$B$76="2023"),0)+1),"")="",IFERROR(INDEX(Raw_Financials!$E$2:$E$76, MATCH(1, (Raw_Financials!$A$2:$A$76="Gujarat Fluorochemicals")*(Raw_Financials!$B$2:$B$76="2023"),0)+1),"")=""),"",(IFERROR(INDEX(Raw_ESG!$D$2:$D$76, MATCH(1, (Raw_ESG!$A$2:$A$76="Gujarat Fluorochemicals")*(Raw_ESG!$B$2:$B$76="2023"),0)+1),""))/(IFERROR(INDEX(Raw_Financials!$E$2:$E$76, MATCH(1, (Raw_Financials!$A$2:$A$76="Gujarat Fluorochemicals")*(Raw_Financials!$B$2:$B$76="2023"),0)+1),"")))</f>
        <v>8.458331075172712E-2</v>
      </c>
      <c r="M25" cm="1">
        <f t="array" ref="M25">IF(OR(IFERROR(INDEX(Raw_ESG!$E$2:$E$76, MATCH(1, (Raw_ESG!$A$2:$A$76="Gujarat Fluorochemicals")*(Raw_ESG!$B$2:$B$76="2023"),0)+1),"")="",IFERROR(INDEX(Raw_ESG!$F$2:$F$76, MATCH(1, (Raw_ESG!$A$2:$A$76="Gujarat Fluorochemicals")*(Raw_ESG!$B$2:$B$76="2023"),0)+1),"")=""),"",(IFERROR(INDEX(Raw_ESG!$E$2:$E$76, MATCH(1, (Raw_ESG!$A$2:$A$76="Gujarat Fluorochemicals")*(Raw_ESG!$B$2:$B$76="2023"),0)+1),""))+(IFERROR(INDEX(Raw_ESG!$F$2:$F$76, MATCH(1, (Raw_ESG!$A$2:$A$76="Gujarat Fluorochemicals")*(Raw_ESG!$B$2:$B$76="2023"),0)+1),"")))</f>
        <v>182167.75</v>
      </c>
      <c r="N25" cm="1">
        <f t="array" ref="N25">IFERROR(INDEX(Raw_ESG!$G$2:$G$76, MATCH(1, (Raw_ESG!$A$2:$A$76="Gujarat Fluorochemicals")*(Raw_ESG!$B$2:$B$76="2023"),0)+1),"")</f>
        <v>87.74</v>
      </c>
    </row>
    <row r="26" spans="1:14" x14ac:dyDescent="0.35">
      <c r="A26" t="s">
        <v>6</v>
      </c>
      <c r="B26" t="s">
        <v>37</v>
      </c>
      <c r="C26" cm="1">
        <f t="array" ref="C26">IF(OR(IFERROR(INDEX(Raw_Financials!$E$2:$E$76, MATCH(1, (Raw_Financials!$A$2:$A$76="Gujarat Fluorochemicals")*(Raw_Financials!$B$2:$B$76="2024"),0)+1),"")="",IFERROR(INDEX(Raw_Financials!$D$2:$D$76, MATCH(1, (Raw_Financials!$A$2:$A$76="Gujarat Fluorochemicals")*(Raw_Financials!$B$2:$B$76="2024"),0)+1),"")=""),"",(IFERROR(INDEX(Raw_Financials!$D$2:$D$76, MATCH(1, (Raw_Financials!$A$2:$A$76="Gujarat Fluorochemicals")*(Raw_Financials!$B$2:$B$76="2024"),0)+1),""))/(IFERROR(INDEX(Raw_Financials!$E$2:$E$76, MATCH(1, (Raw_Financials!$A$2:$A$76="Gujarat Fluorochemicals")*(Raw_Financials!$B$2:$B$76="2024"),0)+1),"")))</f>
        <v>0.13707340695640852</v>
      </c>
      <c r="D26" cm="1">
        <f t="array" ref="D26">IF(OR(IFERROR(INDEX(Raw_Financials!$E$2:$E$76, MATCH(1, (Raw_Financials!$A$2:$A$76="Gujarat Fluorochemicals")*(Raw_Financials!$B$2:$B$76="2024"),0)+1),"")="",IFERROR(INDEX(Raw_Financials!$C$2:$C$76, MATCH(1, (Raw_Financials!$A$2:$A$76="Gujarat Fluorochemicals")*(Raw_Financials!$B$2:$B$76="2024"),0)+1),"")=""),"",(IFERROR(INDEX(Raw_Financials!$C$2:$C$76, MATCH(1, (Raw_Financials!$A$2:$A$76="Gujarat Fluorochemicals")*(Raw_Financials!$B$2:$B$76="2024"),0)+1),""))/(IFERROR(INDEX(Raw_Financials!$E$2:$E$76, MATCH(1, (Raw_Financials!$A$2:$A$76="Gujarat Fluorochemicals")*(Raw_Financials!$B$2:$B$76="2024"),0)+1),"")))</f>
        <v>0.52170171812514565</v>
      </c>
      <c r="E26" cm="1">
        <f t="array" ref="E26">IF(OR(IFERROR(INDEX(Raw_Financials!$G$2:$G$76, MATCH(1, (Raw_Financials!$A$2:$A$76="Gujarat Fluorochemicals")*(Raw_Financials!$B$2:$B$76="2024"),0)+1),"")="",IFERROR(INDEX(Raw_Financials!$H$2:$H$76, MATCH(1, (Raw_Financials!$A$2:$A$76="Gujarat Fluorochemicals")*(Raw_Financials!$B$2:$B$76="2024"),0)+1),"")=""),"",(IFERROR(INDEX(Raw_Financials!$G$2:$G$76, MATCH(1, (Raw_Financials!$A$2:$A$76="Gujarat Fluorochemicals")*(Raw_Financials!$B$2:$B$76="2024"),0)+1),""))-(IFERROR(INDEX(Raw_Financials!$H$2:$H$76, MATCH(1, (Raw_Financials!$A$2:$A$76="Gujarat Fluorochemicals")*(Raw_Financials!$B$2:$B$76="2024"),0)+1),"")))</f>
        <v>12729.25</v>
      </c>
      <c r="F26" cm="1">
        <f t="array" ref="F26">IF(OR(IFERROR(INDEX(Raw_Financials!$C$2:$C$76, MATCH(1, (Raw_Financials!$A$2:$A$76="Gujarat Fluorochemicals")*(Raw_Financials!$B$2:$B$76="2024"),0)+1),"")="",IF(OR(IFERROR(INDEX(Raw_Financials!$G$2:$G$76, MATCH(1, (Raw_Financials!$A$2:$A$76="Gujarat Fluorochemicals")*(Raw_Financials!$B$2:$B$76="2024"),0)+1),"")="",IFERROR(INDEX(Raw_Financials!$H$2:$H$76, MATCH(1, (Raw_Financials!$A$2:$A$76="Gujarat Fluorochemicals")*(Raw_Financials!$B$2:$B$76="2024"),0)+1),"")=""),"",(IFERROR(INDEX(Raw_Financials!$G$2:$G$76, MATCH(1, (Raw_Financials!$A$2:$A$76="Gujarat Fluorochemicals")*(Raw_Financials!$B$2:$B$76="2024"),0)+1),""))-(IFERROR(INDEX(Raw_Financials!$H$2:$H$76, MATCH(1, (Raw_Financials!$A$2:$A$76="Gujarat Fluorochemicals")*(Raw_Financials!$B$2:$B$76="2024"),0)+1),"")))=""),"",(IFERROR(INDEX(Raw_Financials!$C$2:$C$76, MATCH(1, (Raw_Financials!$A$2:$A$76="Gujarat Fluorochemicals")*(Raw_Financials!$B$2:$B$76="2024"),0)+1),""))/(IF(OR(IFERROR(INDEX(Raw_Financials!$G$2:$G$76, MATCH(1, (Raw_Financials!$A$2:$A$76="Gujarat Fluorochemicals")*(Raw_Financials!$B$2:$B$76="2024"),0)+1),"")="",IFERROR(INDEX(Raw_Financials!$H$2:$H$76, MATCH(1, (Raw_Financials!$A$2:$A$76="Gujarat Fluorochemicals")*(Raw_Financials!$B$2:$B$76="2024"),0)+1),"")=""),"",(IFERROR(INDEX(Raw_Financials!$G$2:$G$76, MATCH(1, (Raw_Financials!$A$2:$A$76="Gujarat Fluorochemicals")*(Raw_Financials!$B$2:$B$76="2024"),0)+1),""))-(IFERROR(INDEX(Raw_Financials!$H$2:$H$76, MATCH(1, (Raw_Financials!$A$2:$A$76="Gujarat Fluorochemicals")*(Raw_Financials!$B$2:$B$76="2024"),0)+1),"")))))</f>
        <v>3.2169043737847871</v>
      </c>
      <c r="G26" cm="1">
        <f t="array" ref="G26">IF(OR(IFERROR(INDEX(Raw_Financials!$O$2:$O$76, MATCH(1, (Raw_Financials!$A$2:$A$76="Gujarat Fluorochemicals")*(Raw_Financials!$B$2:$B$76="2024"),0)+1),"")="",IFERROR(INDEX(Raw_Financials!$M$2:$M$76, MATCH(1, (Raw_Financials!$A$2:$A$76="Gujarat Fluorochemicals")*(Raw_Financials!$B$2:$B$76="2024"),0)+1),"")=""),"",(IFERROR(INDEX(Raw_Financials!$O$2:$O$76, MATCH(1, (Raw_Financials!$A$2:$A$76="Gujarat Fluorochemicals")*(Raw_Financials!$B$2:$B$76="2024"),0)+1),""))/(IFERROR(INDEX(Raw_Financials!$M$2:$M$76, MATCH(1, (Raw_Financials!$A$2:$A$76="Gujarat Fluorochemicals")*(Raw_Financials!$B$2:$B$76="2024"),0)+1),"")))</f>
        <v>1.2992893644019363</v>
      </c>
      <c r="H26" cm="1">
        <f t="array" ref="H26">IF(OR(IFERROR(INDEX(Raw_Financials!$M$2:$M$76, MATCH(1, (Raw_Financials!$A$2:$A$76="Gujarat Fluorochemicals")*(Raw_Financials!$B$2:$B$76="2024"),0)+1),"")="",IFERROR(INDEX(Raw_Financials!$L$2:$L$76, MATCH(1, (Raw_Financials!$A$2:$A$76="Gujarat Fluorochemicals")*(Raw_Financials!$B$2:$B$76="2024"),0)+1),"")=""),"",(IFERROR(INDEX(Raw_Financials!$M$2:$M$76, MATCH(1, (Raw_Financials!$A$2:$A$76="Gujarat Fluorochemicals")*(Raw_Financials!$B$2:$B$76="2024"),0)+1),""))/(IFERROR(INDEX(Raw_Financials!$L$2:$L$76, MATCH(1, (Raw_Financials!$A$2:$A$76="Gujarat Fluorochemicals")*(Raw_Financials!$B$2:$B$76="2024"),0)+1),"")))</f>
        <v>4.2215546947870246</v>
      </c>
      <c r="I26" cm="1">
        <f t="array" ref="I26">IF(OR(IFERROR(INDEX(Raw_Financials!$N$2:$N$76, MATCH(1, (Raw_Financials!$A$2:$A$76="Gujarat Fluorochemicals")*(Raw_Financials!$B$2:$B$76="2024"),0)+1),"")="",IFERROR(INDEX(Raw_Financials!$J$2:$J$76, MATCH(1, (Raw_Financials!$A$2:$A$76="Gujarat Fluorochemicals")*(Raw_Financials!$B$2:$B$76="2024"),0)+1),"")=""),"",(IFERROR(INDEX(Raw_Financials!$N$2:$N$76, MATCH(1, (Raw_Financials!$A$2:$A$76="Gujarat Fluorochemicals")*(Raw_Financials!$B$2:$B$76="2024"),0)+1),""))-(IFERROR(INDEX(Raw_Financials!$J$2:$J$76, MATCH(1, (Raw_Financials!$A$2:$A$76="Gujarat Fluorochemicals")*(Raw_Financials!$B$2:$B$76="2024"),0)+1),"")))</f>
        <v>8261.43</v>
      </c>
      <c r="J26" cm="1">
        <f t="array" ref="J26">IF(OR(IFERROR(INDEX(Raw_Financials!$M$2:$M$76, MATCH(1, (Raw_Financials!$A$2:$A$76="Gujarat Fluorochemicals")*(Raw_Financials!$B$2:$B$76="2024"),0)+1),"")="",IFERROR(INDEX(Raw_Financials!$C$2:$C$76, MATCH(1, (Raw_Financials!$A$2:$A$76="Gujarat Fluorochemicals")*(Raw_Financials!$B$2:$B$76="2024"),0)+1),"")=""),"",(IFERROR(INDEX(Raw_Financials!$M$2:$M$76, MATCH(1, (Raw_Financials!$A$2:$A$76="Gujarat Fluorochemicals")*(Raw_Financials!$B$2:$B$76="2024"),0)+1),""))/(IFERROR(INDEX(Raw_Financials!$C$2:$C$76, MATCH(1, (Raw_Financials!$A$2:$A$76="Gujarat Fluorochemicals")*(Raw_Financials!$B$2:$B$76="2024"),0)+1),"")))</f>
        <v>0.63663972406503933</v>
      </c>
      <c r="K26" cm="1">
        <f t="array" ref="K26">IF(OR(IFERROR(INDEX(Raw_ESG!$C$2:$C$76, MATCH(1, (Raw_ESG!$A$2:$A$76="Gujarat Fluorochemicals")*(Raw_ESG!$B$2:$B$76="2024"),0)+1),"")="",IFERROR(INDEX(Raw_Financials!$J$2:$J$76, MATCH(1, (Raw_Financials!$A$2:$A$76="Gujarat Fluorochemicals")*(Raw_Financials!$B$2:$B$76="2024"),0)+1),"")=""),"",(IFERROR(INDEX(Raw_ESG!$C$2:$C$76, MATCH(1, (Raw_ESG!$A$2:$A$76="Gujarat Fluorochemicals")*(Raw_ESG!$B$2:$B$76="2024"),0)+1),""))/(IFERROR(INDEX(Raw_Financials!$J$2:$J$76, MATCH(1, (Raw_Financials!$A$2:$A$76="Gujarat Fluorochemicals")*(Raw_Financials!$B$2:$B$76="2024"),0)+1),"")))</f>
        <v>0.56919437030921849</v>
      </c>
      <c r="L26" cm="1">
        <f t="array" ref="L26">IF(OR(IFERROR(INDEX(Raw_ESG!$D$2:$D$76, MATCH(1, (Raw_ESG!$A$2:$A$76="Gujarat Fluorochemicals")*(Raw_ESG!$B$2:$B$76="2024"),0)+1),"")="",IFERROR(INDEX(Raw_Financials!$E$2:$E$76, MATCH(1, (Raw_Financials!$A$2:$A$76="Gujarat Fluorochemicals")*(Raw_Financials!$B$2:$B$76="2024"),0)+1),"")=""),"",(IFERROR(INDEX(Raw_ESG!$D$2:$D$76, MATCH(1, (Raw_ESG!$A$2:$A$76="Gujarat Fluorochemicals")*(Raw_ESG!$B$2:$B$76="2024"),0)+1),""))/(IFERROR(INDEX(Raw_Financials!$E$2:$E$76, MATCH(1, (Raw_Financials!$A$2:$A$76="Gujarat Fluorochemicals")*(Raw_Financials!$B$2:$B$76="2024"),0)+1),"")))</f>
        <v>0.13541181073601119</v>
      </c>
      <c r="M26" cm="1">
        <f t="array" ref="M26">IF(OR(IFERROR(INDEX(Raw_ESG!$E$2:$E$76, MATCH(1, (Raw_ESG!$A$2:$A$76="Gujarat Fluorochemicals")*(Raw_ESG!$B$2:$B$76="2024"),0)+1),"")="",IFERROR(INDEX(Raw_ESG!$F$2:$F$76, MATCH(1, (Raw_ESG!$A$2:$A$76="Gujarat Fluorochemicals")*(Raw_ESG!$B$2:$B$76="2024"),0)+1),"")=""),"",(IFERROR(INDEX(Raw_ESG!$E$2:$E$76, MATCH(1, (Raw_ESG!$A$2:$A$76="Gujarat Fluorochemicals")*(Raw_ESG!$B$2:$B$76="2024"),0)+1),""))+(IFERROR(INDEX(Raw_ESG!$F$2:$F$76, MATCH(1, (Raw_ESG!$A$2:$A$76="Gujarat Fluorochemicals")*(Raw_ESG!$B$2:$B$76="2024"),0)+1),"")))</f>
        <v>107159.08</v>
      </c>
      <c r="N26" cm="1">
        <f t="array" ref="N26">IFERROR(INDEX(Raw_ESG!$G$2:$G$76, MATCH(1, (Raw_ESG!$A$2:$A$76="Gujarat Fluorochemicals")*(Raw_ESG!$B$2:$B$76="2024"),0)+1),"")</f>
        <v>76.89</v>
      </c>
    </row>
    <row r="27" spans="1:14" x14ac:dyDescent="0.35">
      <c r="A27" t="s">
        <v>7</v>
      </c>
      <c r="B27" t="s">
        <v>33</v>
      </c>
      <c r="C27" cm="1">
        <f t="array" ref="C27">IF(OR(IFERROR(INDEX(Raw_Financials!$E$2:$E$76, MATCH(1, (Raw_Financials!$A$2:$A$76="NTPC")*(Raw_Financials!$B$2:$B$76="2020"),0)+1),"")="",IFERROR(INDEX(Raw_Financials!$D$2:$D$76, MATCH(1, (Raw_Financials!$A$2:$A$76="NTPC")*(Raw_Financials!$B$2:$B$76="2020"),0)+1),"")=""),"",(IFERROR(INDEX(Raw_Financials!$D$2:$D$76, MATCH(1, (Raw_Financials!$A$2:$A$76="NTPC")*(Raw_Financials!$B$2:$B$76="2020"),0)+1),""))/(IFERROR(INDEX(Raw_Financials!$E$2:$E$76, MATCH(1, (Raw_Financials!$A$2:$A$76="NTPC")*(Raw_Financials!$B$2:$B$76="2020"),0)+1),"")))</f>
        <v>5.581642765658295E-2</v>
      </c>
      <c r="D27" cm="1">
        <f t="array" ref="D27">IF(OR(IFERROR(INDEX(Raw_Financials!$E$2:$E$76, MATCH(1, (Raw_Financials!$A$2:$A$76="NTPC")*(Raw_Financials!$B$2:$B$76="2020"),0)+1),"")="",IFERROR(INDEX(Raw_Financials!$C$2:$C$76, MATCH(1, (Raw_Financials!$A$2:$A$76="NTPC")*(Raw_Financials!$B$2:$B$76="2020"),0)+1),"")=""),"",(IFERROR(INDEX(Raw_Financials!$C$2:$C$76, MATCH(1, (Raw_Financials!$A$2:$A$76="NTPC")*(Raw_Financials!$B$2:$B$76="2020"),0)+1),""))/(IFERROR(INDEX(Raw_Financials!$E$2:$E$76, MATCH(1, (Raw_Financials!$A$2:$A$76="NTPC")*(Raw_Financials!$B$2:$B$76="2020"),0)+1),"")))</f>
        <v>0.56975318019022692</v>
      </c>
      <c r="E27" cm="1">
        <f t="array" ref="E27">IF(OR(IFERROR(INDEX(Raw_Financials!$G$2:$G$76, MATCH(1, (Raw_Financials!$A$2:$A$76="NTPC")*(Raw_Financials!$B$2:$B$76="2020"),0)+1),"")="",IFERROR(INDEX(Raw_Financials!$H$2:$H$76, MATCH(1, (Raw_Financials!$A$2:$A$76="NTPC")*(Raw_Financials!$B$2:$B$76="2020"),0)+1),"")=""),"",(IFERROR(INDEX(Raw_Financials!$G$2:$G$76, MATCH(1, (Raw_Financials!$A$2:$A$76="NTPC")*(Raw_Financials!$B$2:$B$76="2020"),0)+1),""))-(IFERROR(INDEX(Raw_Financials!$H$2:$H$76, MATCH(1, (Raw_Financials!$A$2:$A$76="NTPC")*(Raw_Financials!$B$2:$B$76="2020"),0)+1),"")))</f>
        <v>-9290.5800000000017</v>
      </c>
      <c r="F27" cm="1">
        <f t="array" ref="F27">IF(OR(IFERROR(INDEX(Raw_Financials!$C$2:$C$76, MATCH(1, (Raw_Financials!$A$2:$A$76="NTPC")*(Raw_Financials!$B$2:$B$76="2020"),0)+1),"")="",IF(OR(IFERROR(INDEX(Raw_Financials!$G$2:$G$76, MATCH(1, (Raw_Financials!$A$2:$A$76="NTPC")*(Raw_Financials!$B$2:$B$76="2020"),0)+1),"")="",IFERROR(INDEX(Raw_Financials!$H$2:$H$76, MATCH(1, (Raw_Financials!$A$2:$A$76="NTPC")*(Raw_Financials!$B$2:$B$76="2020"),0)+1),"")=""),"",(IFERROR(INDEX(Raw_Financials!$G$2:$G$76, MATCH(1, (Raw_Financials!$A$2:$A$76="NTPC")*(Raw_Financials!$B$2:$B$76="2020"),0)+1),""))-(IFERROR(INDEX(Raw_Financials!$H$2:$H$76, MATCH(1, (Raw_Financials!$A$2:$A$76="NTPC")*(Raw_Financials!$B$2:$B$76="2020"),0)+1),"")))=""),"",(IFERROR(INDEX(Raw_Financials!$C$2:$C$76, MATCH(1, (Raw_Financials!$A$2:$A$76="NTPC")*(Raw_Financials!$B$2:$B$76="2020"),0)+1),""))/(IF(OR(IFERROR(INDEX(Raw_Financials!$G$2:$G$76, MATCH(1, (Raw_Financials!$A$2:$A$76="NTPC")*(Raw_Financials!$B$2:$B$76="2020"),0)+1),"")="",IFERROR(INDEX(Raw_Financials!$H$2:$H$76, MATCH(1, (Raw_Financials!$A$2:$A$76="NTPC")*(Raw_Financials!$B$2:$B$76="2020"),0)+1),"")=""),"",(IFERROR(INDEX(Raw_Financials!$G$2:$G$76, MATCH(1, (Raw_Financials!$A$2:$A$76="NTPC")*(Raw_Financials!$B$2:$B$76="2020"),0)+1),""))-(IFERROR(INDEX(Raw_Financials!$H$2:$H$76, MATCH(1, (Raw_Financials!$A$2:$A$76="NTPC")*(Raw_Financials!$B$2:$B$76="2020"),0)+1),"")))))</f>
        <v>-8.0215939155574763</v>
      </c>
      <c r="G27" cm="1">
        <f t="array" ref="G27">IF(OR(IFERROR(INDEX(Raw_Financials!$O$2:$O$76, MATCH(1, (Raw_Financials!$A$2:$A$76="NTPC")*(Raw_Financials!$B$2:$B$76="2020"),0)+1),"")="",IFERROR(INDEX(Raw_Financials!$M$2:$M$76, MATCH(1, (Raw_Financials!$A$2:$A$76="NTPC")*(Raw_Financials!$B$2:$B$76="2020"),0)+1),"")=""),"",(IFERROR(INDEX(Raw_Financials!$O$2:$O$76, MATCH(1, (Raw_Financials!$A$2:$A$76="NTPC")*(Raw_Financials!$B$2:$B$76="2020"),0)+1),""))/(IFERROR(INDEX(Raw_Financials!$M$2:$M$76, MATCH(1, (Raw_Financials!$A$2:$A$76="NTPC")*(Raw_Financials!$B$2:$B$76="2020"),0)+1),"")))</f>
        <v>4.1668562352020482</v>
      </c>
      <c r="H27" cm="1">
        <f t="array" ref="H27">IF(OR(IFERROR(INDEX(Raw_Financials!$M$2:$M$76, MATCH(1, (Raw_Financials!$A$2:$A$76="NTPC")*(Raw_Financials!$B$2:$B$76="2020"),0)+1),"")="",IFERROR(INDEX(Raw_Financials!$L$2:$L$76, MATCH(1, (Raw_Financials!$A$2:$A$76="NTPC")*(Raw_Financials!$B$2:$B$76="2020"),0)+1),"")=""),"",(IFERROR(INDEX(Raw_Financials!$M$2:$M$76, MATCH(1, (Raw_Financials!$A$2:$A$76="NTPC")*(Raw_Financials!$B$2:$B$76="2020"),0)+1),""))/(IFERROR(INDEX(Raw_Financials!$L$2:$L$76, MATCH(1, (Raw_Financials!$A$2:$A$76="NTPC")*(Raw_Financials!$B$2:$B$76="2020"),0)+1),"")))</f>
        <v>1.923009353214161</v>
      </c>
      <c r="I27" cm="1">
        <f t="array" ref="I27">IF(OR(IFERROR(INDEX(Raw_Financials!$N$2:$N$76, MATCH(1, (Raw_Financials!$A$2:$A$76="NTPC")*(Raw_Financials!$B$2:$B$76="2020"),0)+1),"")="",IFERROR(INDEX(Raw_Financials!$J$2:$J$76, MATCH(1, (Raw_Financials!$A$2:$A$76="NTPC")*(Raw_Financials!$B$2:$B$76="2020"),0)+1),"")=""),"",(IFERROR(INDEX(Raw_Financials!$N$2:$N$76, MATCH(1, (Raw_Financials!$A$2:$A$76="NTPC")*(Raw_Financials!$B$2:$B$76="2020"),0)+1),""))-(IFERROR(INDEX(Raw_Financials!$J$2:$J$76, MATCH(1, (Raw_Financials!$A$2:$A$76="NTPC")*(Raw_Financials!$B$2:$B$76="2020"),0)+1),"")))</f>
        <v>25773.879999999997</v>
      </c>
      <c r="J27" cm="1">
        <f t="array" ref="J27">IF(OR(IFERROR(INDEX(Raw_Financials!$M$2:$M$76, MATCH(1, (Raw_Financials!$A$2:$A$76="NTPC")*(Raw_Financials!$B$2:$B$76="2020"),0)+1),"")="",IFERROR(INDEX(Raw_Financials!$C$2:$C$76, MATCH(1, (Raw_Financials!$A$2:$A$76="NTPC")*(Raw_Financials!$B$2:$B$76="2020"),0)+1),"")=""),"",(IFERROR(INDEX(Raw_Financials!$M$2:$M$76, MATCH(1, (Raw_Financials!$A$2:$A$76="NTPC")*(Raw_Financials!$B$2:$B$76="2020"),0)+1),""))/(IFERROR(INDEX(Raw_Financials!$C$2:$C$76, MATCH(1, (Raw_Financials!$A$2:$A$76="NTPC")*(Raw_Financials!$B$2:$B$76="2020"),0)+1),"")))</f>
        <v>0.16185760371718261</v>
      </c>
      <c r="K27" cm="1">
        <f t="array" ref="K27">IF(OR(IFERROR(INDEX(Raw_ESG!$C$2:$C$76, MATCH(1, (Raw_ESG!$A$2:$A$76="NTPC")*(Raw_ESG!$B$2:$B$76="2020"),0)+1),"")="",IFERROR(INDEX(Raw_Financials!$J$2:$J$76, MATCH(1, (Raw_Financials!$A$2:$A$76="NTPC")*(Raw_Financials!$B$2:$B$76="2020"),0)+1),"")=""),"",(IFERROR(INDEX(Raw_ESG!$C$2:$C$76, MATCH(1, (Raw_ESG!$A$2:$A$76="NTPC")*(Raw_ESG!$B$2:$B$76="2020"),0)+1),""))/(IFERROR(INDEX(Raw_Financials!$J$2:$J$76, MATCH(1, (Raw_Financials!$A$2:$A$76="NTPC")*(Raw_Financials!$B$2:$B$76="2020"),0)+1),"")))</f>
        <v>0.37657616733800214</v>
      </c>
      <c r="L27" cm="1">
        <f t="array" ref="L27">IF(OR(IFERROR(INDEX(Raw_ESG!$D$2:$D$76, MATCH(1, (Raw_ESG!$A$2:$A$76="NTPC")*(Raw_ESG!$B$2:$B$76="2020"),0)+1),"")="",IFERROR(INDEX(Raw_Financials!$E$2:$E$76, MATCH(1, (Raw_Financials!$A$2:$A$76="NTPC")*(Raw_Financials!$B$2:$B$76="2020"),0)+1),"")=""),"",(IFERROR(INDEX(Raw_ESG!$D$2:$D$76, MATCH(1, (Raw_ESG!$A$2:$A$76="NTPC")*(Raw_ESG!$B$2:$B$76="2020"),0)+1),""))/(IFERROR(INDEX(Raw_Financials!$E$2:$E$76, MATCH(1, (Raw_Financials!$A$2:$A$76="NTPC")*(Raw_Financials!$B$2:$B$76="2020"),0)+1),"")))</f>
        <v>0.17375947333201275</v>
      </c>
      <c r="M27" cm="1">
        <f t="array" ref="M27">IF(OR(IFERROR(INDEX(Raw_ESG!$E$2:$E$76, MATCH(1, (Raw_ESG!$A$2:$A$76="NTPC")*(Raw_ESG!$B$2:$B$76="2020"),0)+1),"")="",IFERROR(INDEX(Raw_ESG!$F$2:$F$76, MATCH(1, (Raw_ESG!$A$2:$A$76="NTPC")*(Raw_ESG!$B$2:$B$76="2020"),0)+1),"")=""),"",(IFERROR(INDEX(Raw_ESG!$E$2:$E$76, MATCH(1, (Raw_ESG!$A$2:$A$76="NTPC")*(Raw_ESG!$B$2:$B$76="2020"),0)+1),""))+(IFERROR(INDEX(Raw_ESG!$F$2:$F$76, MATCH(1, (Raw_ESG!$A$2:$A$76="NTPC")*(Raw_ESG!$B$2:$B$76="2020"),0)+1),"")))</f>
        <v>163348.66</v>
      </c>
      <c r="N27" cm="1">
        <f t="array" ref="N27">IFERROR(INDEX(Raw_ESG!$G$2:$G$76, MATCH(1, (Raw_ESG!$A$2:$A$76="NTPC")*(Raw_ESG!$B$2:$B$76="2020"),0)+1),"")</f>
        <v>67.72</v>
      </c>
    </row>
    <row r="28" spans="1:14" x14ac:dyDescent="0.35">
      <c r="A28" t="s">
        <v>7</v>
      </c>
      <c r="B28" t="s">
        <v>34</v>
      </c>
      <c r="C28" cm="1">
        <f t="array" ref="C28">IF(OR(IFERROR(INDEX(Raw_Financials!$E$2:$E$76, MATCH(1, (Raw_Financials!$A$2:$A$76="NTPC")*(Raw_Financials!$B$2:$B$76="2021"),0)+1),"")="",IFERROR(INDEX(Raw_Financials!$D$2:$D$76, MATCH(1, (Raw_Financials!$A$2:$A$76="NTPC")*(Raw_Financials!$B$2:$B$76="2021"),0)+1),"")=""),"",(IFERROR(INDEX(Raw_Financials!$D$2:$D$76, MATCH(1, (Raw_Financials!$A$2:$A$76="NTPC")*(Raw_Financials!$B$2:$B$76="2021"),0)+1),""))/(IFERROR(INDEX(Raw_Financials!$E$2:$E$76, MATCH(1, (Raw_Financials!$A$2:$A$76="NTPC")*(Raw_Financials!$B$2:$B$76="2021"),0)+1),"")))</f>
        <v>9.283588458955977E-2</v>
      </c>
      <c r="D28" cm="1">
        <f t="array" ref="D28">IF(OR(IFERROR(INDEX(Raw_Financials!$E$2:$E$76, MATCH(1, (Raw_Financials!$A$2:$A$76="NTPC")*(Raw_Financials!$B$2:$B$76="2021"),0)+1),"")="",IFERROR(INDEX(Raw_Financials!$C$2:$C$76, MATCH(1, (Raw_Financials!$A$2:$A$76="NTPC")*(Raw_Financials!$B$2:$B$76="2021"),0)+1),"")=""),"",(IFERROR(INDEX(Raw_Financials!$C$2:$C$76, MATCH(1, (Raw_Financials!$A$2:$A$76="NTPC")*(Raw_Financials!$B$2:$B$76="2021"),0)+1),""))/(IFERROR(INDEX(Raw_Financials!$E$2:$E$76, MATCH(1, (Raw_Financials!$A$2:$A$76="NTPC")*(Raw_Financials!$B$2:$B$76="2021"),0)+1),"")))</f>
        <v>0.91061100297354747</v>
      </c>
      <c r="E28" cm="1">
        <f t="array" ref="E28">IF(OR(IFERROR(INDEX(Raw_Financials!$G$2:$G$76, MATCH(1, (Raw_Financials!$A$2:$A$76="NTPC")*(Raw_Financials!$B$2:$B$76="2021"),0)+1),"")="",IFERROR(INDEX(Raw_Financials!$H$2:$H$76, MATCH(1, (Raw_Financials!$A$2:$A$76="NTPC")*(Raw_Financials!$B$2:$B$76="2021"),0)+1),"")=""),"",(IFERROR(INDEX(Raw_Financials!$G$2:$G$76, MATCH(1, (Raw_Financials!$A$2:$A$76="NTPC")*(Raw_Financials!$B$2:$B$76="2021"),0)+1),""))-(IFERROR(INDEX(Raw_Financials!$H$2:$H$76, MATCH(1, (Raw_Financials!$A$2:$A$76="NTPC")*(Raw_Financials!$B$2:$B$76="2021"),0)+1),"")))</f>
        <v>-927.93999999999869</v>
      </c>
      <c r="F28" cm="1">
        <f t="array" ref="F28">IF(OR(IFERROR(INDEX(Raw_Financials!$C$2:$C$76, MATCH(1, (Raw_Financials!$A$2:$A$76="NTPC")*(Raw_Financials!$B$2:$B$76="2021"),0)+1),"")="",IF(OR(IFERROR(INDEX(Raw_Financials!$G$2:$G$76, MATCH(1, (Raw_Financials!$A$2:$A$76="NTPC")*(Raw_Financials!$B$2:$B$76="2021"),0)+1),"")="",IFERROR(INDEX(Raw_Financials!$H$2:$H$76, MATCH(1, (Raw_Financials!$A$2:$A$76="NTPC")*(Raw_Financials!$B$2:$B$76="2021"),0)+1),"")=""),"",(IFERROR(INDEX(Raw_Financials!$G$2:$G$76, MATCH(1, (Raw_Financials!$A$2:$A$76="NTPC")*(Raw_Financials!$B$2:$B$76="2021"),0)+1),""))-(IFERROR(INDEX(Raw_Financials!$H$2:$H$76, MATCH(1, (Raw_Financials!$A$2:$A$76="NTPC")*(Raw_Financials!$B$2:$B$76="2021"),0)+1),"")))=""),"",(IFERROR(INDEX(Raw_Financials!$C$2:$C$76, MATCH(1, (Raw_Financials!$A$2:$A$76="NTPC")*(Raw_Financials!$B$2:$B$76="2021"),0)+1),""))/(IF(OR(IFERROR(INDEX(Raw_Financials!$G$2:$G$76, MATCH(1, (Raw_Financials!$A$2:$A$76="NTPC")*(Raw_Financials!$B$2:$B$76="2021"),0)+1),"")="",IFERROR(INDEX(Raw_Financials!$H$2:$H$76, MATCH(1, (Raw_Financials!$A$2:$A$76="NTPC")*(Raw_Financials!$B$2:$B$76="2021"),0)+1),"")=""),"",(IFERROR(INDEX(Raw_Financials!$G$2:$G$76, MATCH(1, (Raw_Financials!$A$2:$A$76="NTPC")*(Raw_Financials!$B$2:$B$76="2021"),0)+1),""))-(IFERROR(INDEX(Raw_Financials!$H$2:$H$76, MATCH(1, (Raw_Financials!$A$2:$A$76="NTPC")*(Raw_Financials!$B$2:$B$76="2021"),0)+1),"")))))</f>
        <v>-75.194689311809057</v>
      </c>
      <c r="G28" cm="1">
        <f t="array" ref="G28">IF(OR(IFERROR(INDEX(Raw_Financials!$O$2:$O$76, MATCH(1, (Raw_Financials!$A$2:$A$76="NTPC")*(Raw_Financials!$B$2:$B$76="2021"),0)+1),"")="",IFERROR(INDEX(Raw_Financials!$M$2:$M$76, MATCH(1, (Raw_Financials!$A$2:$A$76="NTPC")*(Raw_Financials!$B$2:$B$76="2021"),0)+1),"")=""),"",(IFERROR(INDEX(Raw_Financials!$O$2:$O$76, MATCH(1, (Raw_Financials!$A$2:$A$76="NTPC")*(Raw_Financials!$B$2:$B$76="2021"),0)+1),""))/(IFERROR(INDEX(Raw_Financials!$M$2:$M$76, MATCH(1, (Raw_Financials!$A$2:$A$76="NTPC")*(Raw_Financials!$B$2:$B$76="2021"),0)+1),"")))</f>
        <v>2.1842704720513728</v>
      </c>
      <c r="H28" cm="1">
        <f t="array" ref="H28">IF(OR(IFERROR(INDEX(Raw_Financials!$M$2:$M$76, MATCH(1, (Raw_Financials!$A$2:$A$76="NTPC")*(Raw_Financials!$B$2:$B$76="2021"),0)+1),"")="",IFERROR(INDEX(Raw_Financials!$L$2:$L$76, MATCH(1, (Raw_Financials!$A$2:$A$76="NTPC")*(Raw_Financials!$B$2:$B$76="2021"),0)+1),"")=""),"",(IFERROR(INDEX(Raw_Financials!$M$2:$M$76, MATCH(1, (Raw_Financials!$A$2:$A$76="NTPC")*(Raw_Financials!$B$2:$B$76="2021"),0)+1),""))/(IFERROR(INDEX(Raw_Financials!$L$2:$L$76, MATCH(1, (Raw_Financials!$A$2:$A$76="NTPC")*(Raw_Financials!$B$2:$B$76="2021"),0)+1),"")))</f>
        <v>3.3518772121098603</v>
      </c>
      <c r="I28" cm="1">
        <f t="array" ref="I28">IF(OR(IFERROR(INDEX(Raw_Financials!$N$2:$N$76, MATCH(1, (Raw_Financials!$A$2:$A$76="NTPC")*(Raw_Financials!$B$2:$B$76="2021"),0)+1),"")="",IFERROR(INDEX(Raw_Financials!$J$2:$J$76, MATCH(1, (Raw_Financials!$A$2:$A$76="NTPC")*(Raw_Financials!$B$2:$B$76="2021"),0)+1),"")=""),"",(IFERROR(INDEX(Raw_Financials!$N$2:$N$76, MATCH(1, (Raw_Financials!$A$2:$A$76="NTPC")*(Raw_Financials!$B$2:$B$76="2021"),0)+1),""))-(IFERROR(INDEX(Raw_Financials!$J$2:$J$76, MATCH(1, (Raw_Financials!$A$2:$A$76="NTPC")*(Raw_Financials!$B$2:$B$76="2021"),0)+1),"")))</f>
        <v>5324.2000000000007</v>
      </c>
      <c r="J28" cm="1">
        <f t="array" ref="J28">IF(OR(IFERROR(INDEX(Raw_Financials!$M$2:$M$76, MATCH(1, (Raw_Financials!$A$2:$A$76="NTPC")*(Raw_Financials!$B$2:$B$76="2021"),0)+1),"")="",IFERROR(INDEX(Raw_Financials!$C$2:$C$76, MATCH(1, (Raw_Financials!$A$2:$A$76="NTPC")*(Raw_Financials!$B$2:$B$76="2021"),0)+1),"")=""),"",(IFERROR(INDEX(Raw_Financials!$M$2:$M$76, MATCH(1, (Raw_Financials!$A$2:$A$76="NTPC")*(Raw_Financials!$B$2:$B$76="2021"),0)+1),""))/(IFERROR(INDEX(Raw_Financials!$C$2:$C$76, MATCH(1, (Raw_Financials!$A$2:$A$76="NTPC")*(Raw_Financials!$B$2:$B$76="2021"),0)+1),"")))</f>
        <v>0.27185373915675498</v>
      </c>
      <c r="K28" cm="1">
        <f t="array" ref="K28">IF(OR(IFERROR(INDEX(Raw_ESG!$C$2:$C$76, MATCH(1, (Raw_ESG!$A$2:$A$76="NTPC")*(Raw_ESG!$B$2:$B$76="2021"),0)+1),"")="",IFERROR(INDEX(Raw_Financials!$J$2:$J$76, MATCH(1, (Raw_Financials!$A$2:$A$76="NTPC")*(Raw_Financials!$B$2:$B$76="2021"),0)+1),"")=""),"",(IFERROR(INDEX(Raw_ESG!$C$2:$C$76, MATCH(1, (Raw_ESG!$A$2:$A$76="NTPC")*(Raw_ESG!$B$2:$B$76="2021"),0)+1),""))/(IFERROR(INDEX(Raw_Financials!$J$2:$J$76, MATCH(1, (Raw_Financials!$A$2:$A$76="NTPC")*(Raw_Financials!$B$2:$B$76="2021"),0)+1),"")))</f>
        <v>0.34958951666440324</v>
      </c>
      <c r="L28" cm="1">
        <f t="array" ref="L28">IF(OR(IFERROR(INDEX(Raw_ESG!$D$2:$D$76, MATCH(1, (Raw_ESG!$A$2:$A$76="NTPC")*(Raw_ESG!$B$2:$B$76="2021"),0)+1),"")="",IFERROR(INDEX(Raw_Financials!$E$2:$E$76, MATCH(1, (Raw_Financials!$A$2:$A$76="NTPC")*(Raw_Financials!$B$2:$B$76="2021"),0)+1),"")=""),"",(IFERROR(INDEX(Raw_ESG!$D$2:$D$76, MATCH(1, (Raw_ESG!$A$2:$A$76="NTPC")*(Raw_ESG!$B$2:$B$76="2021"),0)+1),""))/(IFERROR(INDEX(Raw_Financials!$E$2:$E$76, MATCH(1, (Raw_Financials!$A$2:$A$76="NTPC")*(Raw_Financials!$B$2:$B$76="2021"),0)+1),"")))</f>
        <v>0.2125544122627345</v>
      </c>
      <c r="M28" cm="1">
        <f t="array" ref="M28">IF(OR(IFERROR(INDEX(Raw_ESG!$E$2:$E$76, MATCH(1, (Raw_ESG!$A$2:$A$76="NTPC")*(Raw_ESG!$B$2:$B$76="2021"),0)+1),"")="",IFERROR(INDEX(Raw_ESG!$F$2:$F$76, MATCH(1, (Raw_ESG!$A$2:$A$76="NTPC")*(Raw_ESG!$B$2:$B$76="2021"),0)+1),"")=""),"",(IFERROR(INDEX(Raw_ESG!$E$2:$E$76, MATCH(1, (Raw_ESG!$A$2:$A$76="NTPC")*(Raw_ESG!$B$2:$B$76="2021"),0)+1),""))+(IFERROR(INDEX(Raw_ESG!$F$2:$F$76, MATCH(1, (Raw_ESG!$A$2:$A$76="NTPC")*(Raw_ESG!$B$2:$B$76="2021"),0)+1),"")))</f>
        <v>156230.35999999999</v>
      </c>
      <c r="N28" cm="1">
        <f t="array" ref="N28">IFERROR(INDEX(Raw_ESG!$G$2:$G$76, MATCH(1, (Raw_ESG!$A$2:$A$76="NTPC")*(Raw_ESG!$B$2:$B$76="2021"),0)+1),"")</f>
        <v>70.59</v>
      </c>
    </row>
    <row r="29" spans="1:14" x14ac:dyDescent="0.35">
      <c r="A29" t="s">
        <v>7</v>
      </c>
      <c r="B29" t="s">
        <v>35</v>
      </c>
      <c r="C29" cm="1">
        <f t="array" ref="C29">IF(OR(IFERROR(INDEX(Raw_Financials!$E$2:$E$76, MATCH(1, (Raw_Financials!$A$2:$A$76="NTPC")*(Raw_Financials!$B$2:$B$76="2022"),C28=0)+1),"")="",IFERROR(INDEX(Raw_Financials!$D$2:$D$76, MATCH(1, (Raw_Financials!$A$2:$A$76="NTPC")*(Raw_Financials!$B$2:$B$76="2022"),0)+1),"")=""),"",(IFERROR(INDEX(Raw_Financials!$D$2:$D$76, MATCH(1, (Raw_Financials!$A$2:$A$76="NTPC")*(Raw_Financials!$B$2:$B$76="2022"),0)+1),""))/(IFERROR(INDEX(Raw_Financials!$E$2:$E$76, MATCH(1, (Raw_Financials!$A$2:$A$76="NTPC")*(Raw_Financials!$B$2:$B$76="2022"),0)+1),"")))</f>
        <v>0.11633787741489376</v>
      </c>
      <c r="D29" cm="1">
        <f t="array" ref="D29">IF(OR(IFERROR(INDEX(Raw_Financials!$E$2:$E$76, MATCH(1, (Raw_Financials!$A$2:$A$76="NTPC")*(Raw_Financials!$B$2:$B$76="2022"),0)+1),"")="",IFERROR(INDEX(Raw_Financials!$C$2:$C$76, MATCH(1, (Raw_Financials!$A$2:$A$76="NTPC")*(Raw_Financials!$B$2:$B$76="2022"),0)+1),"")=""),"",(IFERROR(INDEX(Raw_Financials!$C$2:$C$76, MATCH(1, (Raw_Financials!$A$2:$A$76="NTPC")*(Raw_Financials!$B$2:$B$76="2022"),0)+1),""))/(IFERROR(INDEX(Raw_Financials!$E$2:$E$76, MATCH(1, (Raw_Financials!$A$2:$A$76="NTPC")*(Raw_Financials!$B$2:$B$76="2022"),0)+1),"")))</f>
        <v>0.7282169603111921</v>
      </c>
      <c r="E29" cm="1">
        <f t="array" ref="E29">IF(OR(IFERROR(INDEX(Raw_Financials!$G$2:$G$76, MATCH(1, (Raw_Financials!$A$2:$A$76="NTPC")*(Raw_Financials!$B$2:$B$76="2022"),0)+1),"")="",IFERROR(INDEX(Raw_Financials!$H$2:$H$76, MATCH(1, (Raw_Financials!$A$2:$A$76="NTPC")*(Raw_Financials!$B$2:$B$76="2022"),0)+1),"")=""),"",(IFERROR(INDEX(Raw_Financials!$G$2:$G$76, MATCH(1, (Raw_Financials!$A$2:$A$76="NTPC")*(Raw_Financials!$B$2:$B$76="2022"),0)+1),""))-(IFERROR(INDEX(Raw_Financials!$H$2:$H$76, MATCH(1, (Raw_Financials!$A$2:$A$76="NTPC")*(Raw_Financials!$B$2:$B$76="2022"),0)+1),"")))</f>
        <v>-9183.52</v>
      </c>
      <c r="F29" cm="1">
        <f t="array" ref="F29">IF(OR(IFERROR(INDEX(Raw_Financials!$C$2:$C$76, MATCH(1, (Raw_Financials!$A$2:$A$76="NTPC")*(Raw_Financials!$B$2:$B$76="2022"),0)+1),"")="",IF(OR(IFERROR(INDEX(Raw_Financials!$G$2:$G$76, MATCH(1, (Raw_Financials!$A$2:$A$76="NTPC")*(Raw_Financials!$B$2:$B$76="2022"),0)+1),"")="",IFERROR(INDEX(Raw_Financials!$H$2:$H$76, MATCH(1, (Raw_Financials!$A$2:$A$76="NTPC")*(Raw_Financials!$B$2:$B$76="2022"),0)+1),"")=""),"",(IFERROR(INDEX(Raw_Financials!$G$2:$G$76, MATCH(1, (Raw_Financials!$A$2:$A$76="NTPC")*(Raw_Financials!$B$2:$B$76="2022"),0)+1),""))-(IFERROR(INDEX(Raw_Financials!$H$2:$H$76, MATCH(1, (Raw_Financials!$A$2:$A$76="NTPC")*(Raw_Financials!$B$2:$B$76="2022"),0)+1),"")))=""),"",(IFERROR(INDEX(Raw_Financials!$C$2:$C$76, MATCH(1, (Raw_Financials!$A$2:$A$76="NTPC")*(Raw_Financials!$B$2:$B$76="2022"),0)+1),""))/(IF(OR(IFERROR(INDEX(Raw_Financials!$G$2:$G$76, MATCH(1, (Raw_Financials!$A$2:$A$76="NTPC")*(Raw_Financials!$B$2:$B$76="2022"),0)+1),"")="",IFERROR(INDEX(Raw_Financials!$H$2:$H$76, MATCH(1, (Raw_Financials!$A$2:$A$76="NTPC")*(Raw_Financials!$B$2:$B$76="2022"),0)+1),"")=""),"",(IFERROR(INDEX(Raw_Financials!$G$2:$G$76, MATCH(1, (Raw_Financials!$A$2:$A$76="NTPC")*(Raw_Financials!$B$2:$B$76="2022"),0)+1),""))-(IFERROR(INDEX(Raw_Financials!$H$2:$H$76, MATCH(1, (Raw_Financials!$A$2:$A$76="NTPC")*(Raw_Financials!$B$2:$B$76="2022"),0)+1),"")))))</f>
        <v>-7.0320476244403007</v>
      </c>
      <c r="G29" cm="1">
        <f t="array" ref="G29">IF(OR(IFERROR(INDEX(Raw_Financials!$O$2:$O$76, MATCH(1, (Raw_Financials!$A$2:$A$76="NTPC")*(Raw_Financials!$B$2:$B$76="2022"),0)+1),"")="",IFERROR(INDEX(Raw_Financials!$M$2:$M$76, MATCH(1, (Raw_Financials!$A$2:$A$76="NTPC")*(Raw_Financials!$B$2:$B$76="2022"),0)+1),"")=""),"",(IFERROR(INDEX(Raw_Financials!$O$2:$O$76, MATCH(1, (Raw_Financials!$A$2:$A$76="NTPC")*(Raw_Financials!$B$2:$B$76="2022"),0)+1),""))/(IFERROR(INDEX(Raw_Financials!$M$2:$M$76, MATCH(1, (Raw_Financials!$A$2:$A$76="NTPC")*(Raw_Financials!$B$2:$B$76="2022"),0)+1),"")))</f>
        <v>4.3477168827270658</v>
      </c>
      <c r="H29" cm="1">
        <f t="array" ref="H29">IF(OR(IFERROR(INDEX(Raw_Financials!$M$2:$M$76, MATCH(1, (Raw_Financials!$A$2:$A$76="NTPC")*(Raw_Financials!$B$2:$B$76="2022"),0)+1),"")="",IFERROR(INDEX(Raw_Financials!$L$2:$L$76, MATCH(1, (Raw_Financials!$A$2:$A$76="NTPC")*(Raw_Financials!$B$2:$B$76="2022"),0)+1),"")=""),"",(IFERROR(INDEX(Raw_Financials!$M$2:$M$76, MATCH(1, (Raw_Financials!$A$2:$A$76="NTPC")*(Raw_Financials!$B$2:$B$76="2022"),0)+1),""))/(IFERROR(INDEX(Raw_Financials!$L$2:$L$76, MATCH(1, (Raw_Financials!$A$2:$A$76="NTPC")*(Raw_Financials!$B$2:$B$76="2022"),0)+1),"")))</f>
        <v>4.1680430681869742</v>
      </c>
      <c r="I29" cm="1">
        <f t="array" ref="I29">IF(OR(IFERROR(INDEX(Raw_Financials!$N$2:$N$76, MATCH(1, (Raw_Financials!$A$2:$A$76="NTPC")*(Raw_Financials!$B$2:$B$76="2022"),0)+1),"")="",IFERROR(INDEX(Raw_Financials!$J$2:$J$76, MATCH(1, (Raw_Financials!$A$2:$A$76="NTPC")*(Raw_Financials!$B$2:$B$76="2022"),0)+1),"")=""),"",(IFERROR(INDEX(Raw_Financials!$N$2:$N$76, MATCH(1, (Raw_Financials!$A$2:$A$76="NTPC")*(Raw_Financials!$B$2:$B$76="2022"),0)+1),""))-(IFERROR(INDEX(Raw_Financials!$J$2:$J$76, MATCH(1, (Raw_Financials!$A$2:$A$76="NTPC")*(Raw_Financials!$B$2:$B$76="2022"),0)+1),"")))</f>
        <v>17660.73</v>
      </c>
      <c r="J29" cm="1">
        <f t="array" ref="J29">IF(OR(IFERROR(INDEX(Raw_Financials!$M$2:$M$76, MATCH(1, (Raw_Financials!$A$2:$A$76="NTPC")*(Raw_Financials!$B$2:$B$76="2022"),0)+1),"")="",IFERROR(INDEX(Raw_Financials!$C$2:$C$76, MATCH(1, (Raw_Financials!$A$2:$A$76="NTPC")*(Raw_Financials!$B$2:$B$76="2022"),0)+1),"")=""),"",(IFERROR(INDEX(Raw_Financials!$M$2:$M$76, MATCH(1, (Raw_Financials!$A$2:$A$76="NTPC")*(Raw_Financials!$B$2:$B$76="2022"),0)+1),""))/(IFERROR(INDEX(Raw_Financials!$C$2:$C$76, MATCH(1, (Raw_Financials!$A$2:$A$76="NTPC")*(Raw_Financials!$B$2:$B$76="2022"),0)+1),"")))</f>
        <v>0.19913346376799251</v>
      </c>
      <c r="K29" cm="1">
        <f t="array" ref="K29">IF(OR(IFERROR(INDEX(Raw_ESG!$C$2:$C$76, MATCH(1, (Raw_ESG!$A$2:$A$76="NTPC")*(Raw_ESG!$B$2:$B$76="2022"),0)+1),"")="",IFERROR(INDEX(Raw_Financials!$J$2:$J$76, MATCH(1, (Raw_Financials!$A$2:$A$76="NTPC")*(Raw_Financials!$B$2:$B$76="2022"),0)+1),"")=""),"",(IFERROR(INDEX(Raw_ESG!$C$2:$C$76, MATCH(1, (Raw_ESG!$A$2:$A$76="NTPC")*(Raw_ESG!$B$2:$B$76="2022"),0)+1),""))/(IFERROR(INDEX(Raw_Financials!$J$2:$J$76, MATCH(1, (Raw_Financials!$A$2:$A$76="NTPC")*(Raw_Financials!$B$2:$B$76="2022"),0)+1),"")))</f>
        <v>0.3936048321544075</v>
      </c>
      <c r="L29" cm="1">
        <f t="array" ref="L29">IF(OR(IFERROR(INDEX(Raw_ESG!$D$2:$D$76, MATCH(1, (Raw_ESG!$A$2:$A$76="NTPC")*(Raw_ESG!$B$2:$B$76="2022"),0)+1),"")="",IFERROR(INDEX(Raw_Financials!$E$2:$E$76, MATCH(1, (Raw_Financials!$A$2:$A$76="NTPC")*(Raw_Financials!$B$2:$B$76="2022"),0)+1),"")=""),"",(IFERROR(INDEX(Raw_ESG!$D$2:$D$76, MATCH(1, (Raw_ESG!$A$2:$A$76="NTPC")*(Raw_ESG!$B$2:$B$76="2022"),0)+1),""))/(IFERROR(INDEX(Raw_Financials!$E$2:$E$76, MATCH(1, (Raw_Financials!$A$2:$A$76="NTPC")*(Raw_Financials!$B$2:$B$76="2022"),0)+1),"")))</f>
        <v>0.22746054055370649</v>
      </c>
      <c r="M29" cm="1">
        <f t="array" ref="M29">IF(OR(IFERROR(INDEX(Raw_ESG!$E$2:$E$76, MATCH(1, (Raw_ESG!$A$2:$A$76="NTPC")*(Raw_ESG!$B$2:$B$76="2022"),0)+1),"")="",IFERROR(INDEX(Raw_ESG!$F$2:$F$76, MATCH(1, (Raw_ESG!$A$2:$A$76="NTPC")*(Raw_ESG!$B$2:$B$76="2022"),0)+1),"")=""),"",(IFERROR(INDEX(Raw_ESG!$E$2:$E$76, MATCH(1, (Raw_ESG!$A$2:$A$76="NTPC")*(Raw_ESG!$B$2:$B$76="2022"),0)+1),""))+(IFERROR(INDEX(Raw_ESG!$F$2:$F$76, MATCH(1, (Raw_ESG!$A$2:$A$76="NTPC")*(Raw_ESG!$B$2:$B$76="2022"),0)+1),"")))</f>
        <v>184519.1</v>
      </c>
      <c r="N29" cm="1">
        <f t="array" ref="N29">IFERROR(INDEX(Raw_ESG!$G$2:$G$76, MATCH(1, (Raw_ESG!$A$2:$A$76="NTPC")*(Raw_ESG!$B$2:$B$76="2022"),0)+1),"")</f>
        <v>60.98</v>
      </c>
    </row>
    <row r="30" spans="1:14" x14ac:dyDescent="0.35">
      <c r="A30" t="s">
        <v>7</v>
      </c>
      <c r="B30" t="s">
        <v>36</v>
      </c>
      <c r="C30" cm="1">
        <f t="array" ref="C30">IF(OR(IFERROR(INDEX(Raw_Financials!$E$2:$E$76, MATCH(1, (Raw_Financials!$A$2:$A$76="NTPC")*(Raw_Financials!$B$2:$B$76="2023"),0)+1),"")="",IFERROR(INDEX(Raw_Financials!$D$2:$D$76, MATCH(1, (Raw_Financials!$A$2:$A$76="NTPC")*(Raw_Financials!$B$2:$B$76="2023"),0)+1),"")=""),"",(IFERROR(INDEX(Raw_Financials!$D$2:$D$76, MATCH(1, (Raw_Financials!$A$2:$A$76="NTPC")*(Raw_Financials!$B$2:$B$76="2023"),0)+1),""))/(IFERROR(INDEX(Raw_Financials!$E$2:$E$76, MATCH(1, (Raw_Financials!$A$2:$A$76="NTPC")*(Raw_Financials!$B$2:$B$76="2023"),0)+1),"")))</f>
        <v>2.3109354842955895E-2</v>
      </c>
      <c r="D30" cm="1">
        <f t="array" ref="D30">IF(OR(IFERROR(INDEX(Raw_Financials!$E$2:$E$76, MATCH(1, (Raw_Financials!$A$2:$A$76="NTPC")*(Raw_Financials!$B$2:$B$76="2023"),0)+1),"")="",IFERROR(INDEX(Raw_Financials!$C$2:$C$76, MATCH(1, (Raw_Financials!$A$2:$A$76="NTPC")*(Raw_Financials!$B$2:$B$76="2023"),0)+1),"")=""),"",(IFERROR(INDEX(Raw_Financials!$C$2:$C$76, MATCH(1, (Raw_Financials!$A$2:$A$76="NTPC")*(Raw_Financials!$B$2:$B$76="2023"),0)+1),""))/(IFERROR(INDEX(Raw_Financials!$E$2:$E$76, MATCH(1, (Raw_Financials!$A$2:$A$76="NTPC")*(Raw_Financials!$B$2:$B$76="2023"),0)+1),"")))</f>
        <v>0.30284829443116545</v>
      </c>
      <c r="E30" cm="1">
        <f t="array" ref="E30">IF(OR(IFERROR(INDEX(Raw_Financials!$G$2:$G$76, MATCH(1, (Raw_Financials!$A$2:$A$76="NTPC")*(Raw_Financials!$B$2:$B$76="2023"),0)+1),"")="",IFERROR(INDEX(Raw_Financials!$H$2:$H$76, MATCH(1, (Raw_Financials!$A$2:$A$76="NTPC")*(Raw_Financials!$B$2:$B$76="2023"),0)+1),"")=""),"",(IFERROR(INDEX(Raw_Financials!$G$2:$G$76, MATCH(1, (Raw_Financials!$A$2:$A$76="NTPC")*(Raw_Financials!$B$2:$B$76="2023"),0)+1),""))-(IFERROR(INDEX(Raw_Financials!$H$2:$H$76, MATCH(1, (Raw_Financials!$A$2:$A$76="NTPC")*(Raw_Financials!$B$2:$B$76="2023"),0)+1),"")))</f>
        <v>5708.82</v>
      </c>
      <c r="F30" cm="1">
        <f t="array" ref="F30">IF(OR(IFERROR(INDEX(Raw_Financials!$C$2:$C$76, MATCH(1, (Raw_Financials!$A$2:$A$76="NTPC")*(Raw_Financials!$B$2:$B$76="2023"),0)+1),"")="",IF(OR(IFERROR(INDEX(Raw_Financials!$G$2:$G$76, MATCH(1, (Raw_Financials!$A$2:$A$76="NTPC")*(Raw_Financials!$B$2:$B$76="2023"),0)+1),"")="",IFERROR(INDEX(Raw_Financials!$H$2:$H$76, MATCH(1, (Raw_Financials!$A$2:$A$76="NTPC")*(Raw_Financials!$B$2:$B$76="2023"),0)+1),"")=""),"",(IFERROR(INDEX(Raw_Financials!$G$2:$G$76, MATCH(1, (Raw_Financials!$A$2:$A$76="NTPC")*(Raw_Financials!$B$2:$B$76="2023"),0)+1),""))-(IFERROR(INDEX(Raw_Financials!$H$2:$H$76, MATCH(1, (Raw_Financials!$A$2:$A$76="NTPC")*(Raw_Financials!$B$2:$B$76="2023"),0)+1),"")))=""),"",(IFERROR(INDEX(Raw_Financials!$C$2:$C$76, MATCH(1, (Raw_Financials!$A$2:$A$76="NTPC")*(Raw_Financials!$B$2:$B$76="2023"),0)+1),""))/(IF(OR(IFERROR(INDEX(Raw_Financials!$G$2:$G$76, MATCH(1, (Raw_Financials!$A$2:$A$76="NTPC")*(Raw_Financials!$B$2:$B$76="2023"),0)+1),"")="",IFERROR(INDEX(Raw_Financials!$H$2:$H$76, MATCH(1, (Raw_Financials!$A$2:$A$76="NTPC")*(Raw_Financials!$B$2:$B$76="2023"),0)+1),"")=""),"",(IFERROR(INDEX(Raw_Financials!$G$2:$G$76, MATCH(1, (Raw_Financials!$A$2:$A$76="NTPC")*(Raw_Financials!$B$2:$B$76="2023"),0)+1),""))-(IFERROR(INDEX(Raw_Financials!$H$2:$H$76, MATCH(1, (Raw_Financials!$A$2:$A$76="NTPC")*(Raw_Financials!$B$2:$B$76="2023"),0)+1),"")))))</f>
        <v>10.518541484930337</v>
      </c>
      <c r="G30" cm="1">
        <f t="array" ref="G30">IF(OR(IFERROR(INDEX(Raw_Financials!$O$2:$O$76, MATCH(1, (Raw_Financials!$A$2:$A$76="NTPC")*(Raw_Financials!$B$2:$B$76="2023"),0)+1),"")="",IFERROR(INDEX(Raw_Financials!$M$2:$M$76, MATCH(1, (Raw_Financials!$A$2:$A$76="NTPC")*(Raw_Financials!$B$2:$B$76="2023"),0)+1),"")=""),"",(IFERROR(INDEX(Raw_Financials!$O$2:$O$76, MATCH(1, (Raw_Financials!$A$2:$A$76="NTPC")*(Raw_Financials!$B$2:$B$76="2023"),0)+1),""))/(IFERROR(INDEX(Raw_Financials!$M$2:$M$76, MATCH(1, (Raw_Financials!$A$2:$A$76="NTPC")*(Raw_Financials!$B$2:$B$76="2023"),0)+1),"")))</f>
        <v>2.1651053706395276</v>
      </c>
      <c r="H30" cm="1">
        <f t="array" ref="H30">IF(OR(IFERROR(INDEX(Raw_Financials!$M$2:$M$76, MATCH(1, (Raw_Financials!$A$2:$A$76="NTPC")*(Raw_Financials!$B$2:$B$76="2023"),0)+1),"")="",IFERROR(INDEX(Raw_Financials!$L$2:$L$76, MATCH(1, (Raw_Financials!$A$2:$A$76="NTPC")*(Raw_Financials!$B$2:$B$76="2023"),0)+1),"")=""),"",(IFERROR(INDEX(Raw_Financials!$M$2:$M$76, MATCH(1, (Raw_Financials!$A$2:$A$76="NTPC")*(Raw_Financials!$B$2:$B$76="2023"),0)+1),""))/(IFERROR(INDEX(Raw_Financials!$L$2:$L$76, MATCH(1, (Raw_Financials!$A$2:$A$76="NTPC")*(Raw_Financials!$B$2:$B$76="2023"),0)+1),"")))</f>
        <v>4.4096541742839737</v>
      </c>
      <c r="I30" cm="1">
        <f t="array" ref="I30">IF(OR(IFERROR(INDEX(Raw_Financials!$N$2:$N$76, MATCH(1, (Raw_Financials!$A$2:$A$76="NTPC")*(Raw_Financials!$B$2:$B$76="2023"),0)+1),"")="",IFERROR(INDEX(Raw_Financials!$J$2:$J$76, MATCH(1, (Raw_Financials!$A$2:$A$76="NTPC")*(Raw_Financials!$B$2:$B$76="2023"),0)+1),"")=""),"",(IFERROR(INDEX(Raw_Financials!$N$2:$N$76, MATCH(1, (Raw_Financials!$A$2:$A$76="NTPC")*(Raw_Financials!$B$2:$B$76="2023"),0)+1),""))-(IFERROR(INDEX(Raw_Financials!$J$2:$J$76, MATCH(1, (Raw_Financials!$A$2:$A$76="NTPC")*(Raw_Financials!$B$2:$B$76="2023"),0)+1),"")))</f>
        <v>28407.32</v>
      </c>
      <c r="J30" cm="1">
        <f t="array" ref="J30">IF(OR(IFERROR(INDEX(Raw_Financials!$M$2:$M$76, MATCH(1, (Raw_Financials!$A$2:$A$76="NTPC")*(Raw_Financials!$B$2:$B$76="2023"),0)+1),"")="",IFERROR(INDEX(Raw_Financials!$C$2:$C$76, MATCH(1, (Raw_Financials!$A$2:$A$76="NTPC")*(Raw_Financials!$B$2:$B$76="2023"),0)+1),"")=""),"",(IFERROR(INDEX(Raw_Financials!$M$2:$M$76, MATCH(1, (Raw_Financials!$A$2:$A$76="NTPC")*(Raw_Financials!$B$2:$B$76="2023"),0)+1),""))/(IFERROR(INDEX(Raw_Financials!$C$2:$C$76, MATCH(1, (Raw_Financials!$A$2:$A$76="NTPC")*(Raw_Financials!$B$2:$B$76="2023"),0)+1),"")))</f>
        <v>0.48202684964776782</v>
      </c>
      <c r="K30" cm="1">
        <f t="array" ref="K30">IF(OR(IFERROR(INDEX(Raw_ESG!$C$2:$C$76, MATCH(1, (Raw_ESG!$A$2:$A$76="NTPC")*(Raw_ESG!$B$2:$B$76="2023"),0)+1),"")="",IFERROR(INDEX(Raw_Financials!$J$2:$J$76, MATCH(1, (Raw_Financials!$A$2:$A$76="NTPC")*(Raw_Financials!$B$2:$B$76="2023"),0)+1),"")=""),"",(IFERROR(INDEX(Raw_ESG!$C$2:$C$76, MATCH(1, (Raw_ESG!$A$2:$A$76="NTPC")*(Raw_ESG!$B$2:$B$76="2023"),0)+1),""))/(IFERROR(INDEX(Raw_Financials!$J$2:$J$76, MATCH(1, (Raw_Financials!$A$2:$A$76="NTPC")*(Raw_Financials!$B$2:$B$76="2023"),0)+1),"")))</f>
        <v>0.31251751459215737</v>
      </c>
      <c r="L30" cm="1">
        <f t="array" ref="L30">IF(OR(IFERROR(INDEX(Raw_ESG!$D$2:$D$76, MATCH(1, (Raw_ESG!$A$2:$A$76="NTPC")*(Raw_ESG!$B$2:$B$76="2023"),0)+1),"")="",IFERROR(INDEX(Raw_Financials!$E$2:$E$76, MATCH(1, (Raw_Financials!$A$2:$A$76="NTPC")*(Raw_Financials!$B$2:$B$76="2023"),0)+1),"")=""),"",(IFERROR(INDEX(Raw_ESG!$D$2:$D$76, MATCH(1, (Raw_ESG!$A$2:$A$76="NTPC")*(Raw_ESG!$B$2:$B$76="2023"),0)+1),""))/(IFERROR(INDEX(Raw_Financials!$E$2:$E$76, MATCH(1, (Raw_Financials!$A$2:$A$76="NTPC")*(Raw_Financials!$B$2:$B$76="2023"),0)+1),"")))</f>
        <v>0.14197836674693909</v>
      </c>
      <c r="M30" cm="1">
        <f t="array" ref="M30">IF(OR(IFERROR(INDEX(Raw_ESG!$E$2:$E$76, MATCH(1, (Raw_ESG!$A$2:$A$76="NTPC")*(Raw_ESG!$B$2:$B$76="2023"),0)+1),"")="",IFERROR(INDEX(Raw_ESG!$F$2:$F$76, MATCH(1, (Raw_ESG!$A$2:$A$76="NTPC")*(Raw_ESG!$B$2:$B$76="2023"),0)+1),"")=""),"",(IFERROR(INDEX(Raw_ESG!$E$2:$E$76, MATCH(1, (Raw_ESG!$A$2:$A$76="NTPC")*(Raw_ESG!$B$2:$B$76="2023"),0)+1),""))+(IFERROR(INDEX(Raw_ESG!$F$2:$F$76, MATCH(1, (Raw_ESG!$A$2:$A$76="NTPC")*(Raw_ESG!$B$2:$B$76="2023"),0)+1),"")))</f>
        <v>97226.73</v>
      </c>
      <c r="N30" cm="1">
        <f t="array" ref="N30">IFERROR(INDEX(Raw_ESG!$G$2:$G$76, MATCH(1, (Raw_ESG!$A$2:$A$76="NTPC")*(Raw_ESG!$B$2:$B$76="2023"),0)+1),"")</f>
        <v>52.39</v>
      </c>
    </row>
    <row r="31" spans="1:14" x14ac:dyDescent="0.35">
      <c r="A31" t="s">
        <v>7</v>
      </c>
      <c r="B31" t="s">
        <v>37</v>
      </c>
      <c r="C31" cm="1">
        <f t="array" ref="C31">IF(OR(IFERROR(INDEX(Raw_Financials!$E$2:$E$76, MATCH(1, (Raw_Financials!$A$2:$A$76="NTPC")*(Raw_Financials!$B$2:$B$76="2024"),0)+1),"")="",IFERROR(INDEX(Raw_Financials!$D$2:$D$76, MATCH(1, (Raw_Financials!$A$2:$A$76="NTPC")*(Raw_Financials!$B$2:$B$76="2024"),0)+1),"")=""),"",(IFERROR(INDEX(Raw_Financials!$D$2:$D$76, MATCH(1, (Raw_Financials!$A$2:$A$76="NTPC")*(Raw_Financials!$B$2:$B$76="2024"),0)+1),""))/(IFERROR(INDEX(Raw_Financials!$E$2:$E$76, MATCH(1, (Raw_Financials!$A$2:$A$76="NTPC")*(Raw_Financials!$B$2:$B$76="2024"),0)+1),"")))</f>
        <v>6.1076451328793302E-2</v>
      </c>
      <c r="D31" cm="1">
        <f t="array" ref="D31">IF(OR(IFERROR(INDEX(Raw_Financials!$E$2:$E$76, MATCH(1, (Raw_Financials!$A$2:$A$76="NTPC")*(Raw_Financials!$B$2:$B$76="2024"),0)+1),"")="",IFERROR(INDEX(Raw_Financials!$C$2:$C$76, MATCH(1, (Raw_Financials!$A$2:$A$76="NTPC")*(Raw_Financials!$B$2:$B$76="2024"),0)+1),"")=""),"",(IFERROR(INDEX(Raw_Financials!$C$2:$C$76, MATCH(1, (Raw_Financials!$A$2:$A$76="NTPC")*(Raw_Financials!$B$2:$B$76="2024"),0)+1),""))/(IFERROR(INDEX(Raw_Financials!$E$2:$E$76, MATCH(1, (Raw_Financials!$A$2:$A$76="NTPC")*(Raw_Financials!$B$2:$B$76="2024"),0)+1),"")))</f>
        <v>0.46062057240215737</v>
      </c>
      <c r="E31" cm="1">
        <f t="array" ref="E31">IF(OR(IFERROR(INDEX(Raw_Financials!$G$2:$G$76, MATCH(1, (Raw_Financials!$A$2:$A$76="NTPC")*(Raw_Financials!$B$2:$B$76="2024"),0)+1),"")="",IFERROR(INDEX(Raw_Financials!$H$2:$H$76, MATCH(1, (Raw_Financials!$A$2:$A$76="NTPC")*(Raw_Financials!$B$2:$B$76="2024"),0)+1),"")=""),"",(IFERROR(INDEX(Raw_Financials!$G$2:$G$76, MATCH(1, (Raw_Financials!$A$2:$A$76="NTPC")*(Raw_Financials!$B$2:$B$76="2024"),0)+1),""))-(IFERROR(INDEX(Raw_Financials!$H$2:$H$76, MATCH(1, (Raw_Financials!$A$2:$A$76="NTPC")*(Raw_Financials!$B$2:$B$76="2024"),0)+1),"")))</f>
        <v>-5330.8499999999985</v>
      </c>
      <c r="F31" cm="1">
        <f t="array" ref="F31">IF(OR(IFERROR(INDEX(Raw_Financials!$C$2:$C$76, MATCH(1, (Raw_Financials!$A$2:$A$76="NTPC")*(Raw_Financials!$B$2:$B$76="2024"),0)+1),"")="",IF(OR(IFERROR(INDEX(Raw_Financials!$G$2:$G$76, MATCH(1, (Raw_Financials!$A$2:$A$76="NTPC")*(Raw_Financials!$B$2:$B$76="2024"),0)+1),"")="",IFERROR(INDEX(Raw_Financials!$H$2:$H$76, MATCH(1, (Raw_Financials!$A$2:$A$76="NTPC")*(Raw_Financials!$B$2:$B$76="2024"),0)+1),"")=""),"",(IFERROR(INDEX(Raw_Financials!$G$2:$G$76, MATCH(1, (Raw_Financials!$A$2:$A$76="NTPC")*(Raw_Financials!$B$2:$B$76="2024"),0)+1),""))-(IFERROR(INDEX(Raw_Financials!$H$2:$H$76, MATCH(1, (Raw_Financials!$A$2:$A$76="NTPC")*(Raw_Financials!$B$2:$B$76="2024"),0)+1),"")))=""),"",(IFERROR(INDEX(Raw_Financials!$C$2:$C$76, MATCH(1, (Raw_Financials!$A$2:$A$76="NTPC")*(Raw_Financials!$B$2:$B$76="2024"),0)+1),""))/(IF(OR(IFERROR(INDEX(Raw_Financials!$G$2:$G$76, MATCH(1, (Raw_Financials!$A$2:$A$76="NTPC")*(Raw_Financials!$B$2:$B$76="2024"),0)+1),"")="",IFERROR(INDEX(Raw_Financials!$H$2:$H$76, MATCH(1, (Raw_Financials!$A$2:$A$76="NTPC")*(Raw_Financials!$B$2:$B$76="2024"),0)+1),"")=""),"",(IFERROR(INDEX(Raw_Financials!$G$2:$G$76, MATCH(1, (Raw_Financials!$A$2:$A$76="NTPC")*(Raw_Financials!$B$2:$B$76="2024"),0)+1),""))-(IFERROR(INDEX(Raw_Financials!$H$2:$H$76, MATCH(1, (Raw_Financials!$A$2:$A$76="NTPC")*(Raw_Financials!$B$2:$B$76="2024"),0)+1),"")))))</f>
        <v>-11.978830768076389</v>
      </c>
      <c r="G31" cm="1">
        <f t="array" ref="G31">IF(OR(IFERROR(INDEX(Raw_Financials!$O$2:$O$76, MATCH(1, (Raw_Financials!$A$2:$A$76="NTPC")*(Raw_Financials!$B$2:$B$76="2024"),0)+1),"")="",IFERROR(INDEX(Raw_Financials!$M$2:$M$76, MATCH(1, (Raw_Financials!$A$2:$A$76="NTPC")*(Raw_Financials!$B$2:$B$76="2024"),0)+1),"")=""),"",(IFERROR(INDEX(Raw_Financials!$O$2:$O$76, MATCH(1, (Raw_Financials!$A$2:$A$76="NTPC")*(Raw_Financials!$B$2:$B$76="2024"),0)+1),""))/(IFERROR(INDEX(Raw_Financials!$M$2:$M$76, MATCH(1, (Raw_Financials!$A$2:$A$76="NTPC")*(Raw_Financials!$B$2:$B$76="2024"),0)+1),"")))</f>
        <v>5.0445033893309752</v>
      </c>
      <c r="H31" cm="1">
        <f t="array" ref="H31">IF(OR(IFERROR(INDEX(Raw_Financials!$M$2:$M$76, MATCH(1, (Raw_Financials!$A$2:$A$76="NTPC")*(Raw_Financials!$B$2:$B$76="2024"),0)+1),"")="",IFERROR(INDEX(Raw_Financials!$L$2:$L$76, MATCH(1, (Raw_Financials!$A$2:$A$76="NTPC")*(Raw_Financials!$B$2:$B$76="2024"),0)+1),"")=""),"",(IFERROR(INDEX(Raw_Financials!$M$2:$M$76, MATCH(1, (Raw_Financials!$A$2:$A$76="NTPC")*(Raw_Financials!$B$2:$B$76="2024"),0)+1),""))/(IFERROR(INDEX(Raw_Financials!$L$2:$L$76, MATCH(1, (Raw_Financials!$A$2:$A$76="NTPC")*(Raw_Financials!$B$2:$B$76="2024"),0)+1),"")))</f>
        <v>3.9916485945786966</v>
      </c>
      <c r="I31" cm="1">
        <f t="array" ref="I31">IF(OR(IFERROR(INDEX(Raw_Financials!$N$2:$N$76, MATCH(1, (Raw_Financials!$A$2:$A$76="NTPC")*(Raw_Financials!$B$2:$B$76="2024"),0)+1),"")="",IFERROR(INDEX(Raw_Financials!$J$2:$J$76, MATCH(1, (Raw_Financials!$A$2:$A$76="NTPC")*(Raw_Financials!$B$2:$B$76="2024"),0)+1),"")=""),"",(IFERROR(INDEX(Raw_Financials!$N$2:$N$76, MATCH(1, (Raw_Financials!$A$2:$A$76="NTPC")*(Raw_Financials!$B$2:$B$76="2024"),0)+1),""))-(IFERROR(INDEX(Raw_Financials!$J$2:$J$76, MATCH(1, (Raw_Financials!$A$2:$A$76="NTPC")*(Raw_Financials!$B$2:$B$76="2024"),0)+1),"")))</f>
        <v>19043.649999999998</v>
      </c>
      <c r="J31" cm="1">
        <f t="array" ref="J31">IF(OR(IFERROR(INDEX(Raw_Financials!$M$2:$M$76, MATCH(1, (Raw_Financials!$A$2:$A$76="NTPC")*(Raw_Financials!$B$2:$B$76="2024"),0)+1),"")="",IFERROR(INDEX(Raw_Financials!$C$2:$C$76, MATCH(1, (Raw_Financials!$A$2:$A$76="NTPC")*(Raw_Financials!$B$2:$B$76="2024"),0)+1),"")=""),"",(IFERROR(INDEX(Raw_Financials!$M$2:$M$76, MATCH(1, (Raw_Financials!$A$2:$A$76="NTPC")*(Raw_Financials!$B$2:$B$76="2024"),0)+1),""))/(IFERROR(INDEX(Raw_Financials!$C$2:$C$76, MATCH(1, (Raw_Financials!$A$2:$A$76="NTPC")*(Raw_Financials!$B$2:$B$76="2024"),0)+1),"")))</f>
        <v>0.19340796321801643</v>
      </c>
      <c r="K31" cm="1">
        <f t="array" ref="K31">IF(OR(IFERROR(INDEX(Raw_ESG!$C$2:$C$76, MATCH(1, (Raw_ESG!$A$2:$A$76="NTPC")*(Raw_ESG!$B$2:$B$76="2024"),0)+1),"")="",IFERROR(INDEX(Raw_Financials!$J$2:$J$76, MATCH(1, (Raw_Financials!$A$2:$A$76="NTPC")*(Raw_Financials!$B$2:$B$76="2024"),0)+1),"")=""),"",(IFERROR(INDEX(Raw_ESG!$C$2:$C$76, MATCH(1, (Raw_ESG!$A$2:$A$76="NTPC")*(Raw_ESG!$B$2:$B$76="2024"),0)+1),""))/(IFERROR(INDEX(Raw_Financials!$J$2:$J$76, MATCH(1, (Raw_Financials!$A$2:$A$76="NTPC")*(Raw_Financials!$B$2:$B$76="2024"),0)+1),"")))</f>
        <v>0.57168813444538391</v>
      </c>
      <c r="L31" cm="1">
        <f t="array" ref="L31">IF(OR(IFERROR(INDEX(Raw_ESG!$D$2:$D$76, MATCH(1, (Raw_ESG!$A$2:$A$76="NTPC")*(Raw_ESG!$B$2:$B$76="2024"),0)+1),"")="",IFERROR(INDEX(Raw_Financials!$E$2:$E$76, MATCH(1, (Raw_Financials!$A$2:$A$76="NTPC")*(Raw_Financials!$B$2:$B$76="2024"),0)+1),"")=""),"",(IFERROR(INDEX(Raw_ESG!$D$2:$D$76, MATCH(1, (Raw_ESG!$A$2:$A$76="NTPC")*(Raw_ESG!$B$2:$B$76="2024"),0)+1),""))/(IFERROR(INDEX(Raw_Financials!$E$2:$E$76, MATCH(1, (Raw_Financials!$A$2:$A$76="NTPC")*(Raw_Financials!$B$2:$B$76="2024"),0)+1),"")))</f>
        <v>0.10809697237243866</v>
      </c>
      <c r="M31" cm="1">
        <f t="array" ref="M31">IF(OR(IFERROR(INDEX(Raw_ESG!$E$2:$E$76, MATCH(1, (Raw_ESG!$A$2:$A$76="NTPC")*(Raw_ESG!$B$2:$B$76="2024"),0)+1),"")="",IFERROR(INDEX(Raw_ESG!$F$2:$F$76, MATCH(1, (Raw_ESG!$A$2:$A$76="NTPC")*(Raw_ESG!$B$2:$B$76="2024"),0)+1),"")=""),"",(IFERROR(INDEX(Raw_ESG!$E$2:$E$76, MATCH(1, (Raw_ESG!$A$2:$A$76="NTPC")*(Raw_ESG!$B$2:$B$76="2024"),0)+1),""))+(IFERROR(INDEX(Raw_ESG!$F$2:$F$76, MATCH(1, (Raw_ESG!$A$2:$A$76="NTPC")*(Raw_ESG!$B$2:$B$76="2024"),0)+1),"")))</f>
        <v>136946.70000000001</v>
      </c>
      <c r="N31" cm="1">
        <f t="array" ref="N31">IFERROR(INDEX(Raw_ESG!$G$2:$G$76, MATCH(1, (Raw_ESG!$A$2:$A$76="NTPC")*(Raw_ESG!$B$2:$B$76="2024"),0)+1),"")</f>
        <v>57.8</v>
      </c>
    </row>
    <row r="32" spans="1:14" x14ac:dyDescent="0.35">
      <c r="A32" t="s">
        <v>8</v>
      </c>
      <c r="B32" t="s">
        <v>33</v>
      </c>
      <c r="C32" cm="1">
        <f t="array" ref="C32">IF(OR(IFERROR(INDEX(Raw_Financials!$E$2:$E$76, MATCH(1, (Raw_Financials!$A$2:$A$76="Tata Power")*(Raw_Financials!$B$2:$B$76="2020"),0)+1),"")="",IFERROR(INDEX(Raw_Financials!$D$2:$D$76, MATCH(1, (Raw_Financials!$A$2:$A$76="Tata Power")*(Raw_Financials!$B$2:$B$76="2020"),0)+1),"")=""),"",(IFERROR(INDEX(Raw_Financials!$D$2:$D$76, MATCH(1, (Raw_Financials!$A$2:$A$76="Tata Power")*(Raw_Financials!$B$2:$B$76="2020"),0)+1),""))/(IFERROR(INDEX(Raw_Financials!$E$2:$E$76, MATCH(1, (Raw_Financials!$A$2:$A$76="Tata Power")*(Raw_Financials!$B$2:$B$76="2020"),0)+1),"")))</f>
        <v>3.0618656439307015E-2</v>
      </c>
      <c r="D32" cm="1">
        <f t="array" ref="D32">IF(OR(IFERROR(INDEX(Raw_Financials!$E$2:$E$76, MATCH(1, (Raw_Financials!$A$2:$A$76="Tata Power")*(Raw_Financials!$B$2:$B$76="2020"),0)+1),"")="",IFERROR(INDEX(Raw_Financials!$C$2:$C$76, MATCH(1, (Raw_Financials!$A$2:$A$76="Tata Power")*(Raw_Financials!$B$2:$B$76="2020"),0)+1),"")=""),"",(IFERROR(INDEX(Raw_Financials!$C$2:$C$76, MATCH(1, (Raw_Financials!$A$2:$A$76="Tata Power")*(Raw_Financials!$B$2:$B$76="2020"),0)+1),""))/(IFERROR(INDEX(Raw_Financials!$E$2:$E$76, MATCH(1, (Raw_Financials!$A$2:$A$76="Tata Power")*(Raw_Financials!$B$2:$B$76="2020"),0)+1),"")))</f>
        <v>0.21308177554011798</v>
      </c>
      <c r="E32" cm="1">
        <f t="array" ref="E32">IF(OR(IFERROR(INDEX(Raw_Financials!$G$2:$G$76, MATCH(1, (Raw_Financials!$A$2:$A$76="Tata Power")*(Raw_Financials!$B$2:$B$76="2020"),0)+1),"")="",IFERROR(INDEX(Raw_Financials!$H$2:$H$76, MATCH(1, (Raw_Financials!$A$2:$A$76="Tata Power")*(Raw_Financials!$B$2:$B$76="2020"),0)+1),"")=""),"",(IFERROR(INDEX(Raw_Financials!$G$2:$G$76, MATCH(1, (Raw_Financials!$A$2:$A$76="Tata Power")*(Raw_Financials!$B$2:$B$76="2020"),0)+1),""))-(IFERROR(INDEX(Raw_Financials!$H$2:$H$76, MATCH(1, (Raw_Financials!$A$2:$A$76="Tata Power")*(Raw_Financials!$B$2:$B$76="2020"),0)+1),"")))</f>
        <v>43164.270000000004</v>
      </c>
      <c r="F32" cm="1">
        <f t="array" ref="F32">IF(OR(IFERROR(INDEX(Raw_Financials!$C$2:$C$76, MATCH(1, (Raw_Financials!$A$2:$A$76="Tata Power")*(Raw_Financials!$B$2:$B$76="2020"),0)+1),"")="",IF(OR(IFERROR(INDEX(Raw_Financials!$G$2:$G$76, MATCH(1, (Raw_Financials!$A$2:$A$76="Tata Power")*(Raw_Financials!$B$2:$B$76="2020"),0)+1),"")="",IFERROR(INDEX(Raw_Financials!$H$2:$H$76, MATCH(1, (Raw_Financials!$A$2:$A$76="Tata Power")*(Raw_Financials!$B$2:$B$76="2020"),0)+1),"")=""),"",(IFERROR(INDEX(Raw_Financials!$G$2:$G$76, MATCH(1, (Raw_Financials!$A$2:$A$76="Tata Power")*(Raw_Financials!$B$2:$B$76="2020"),0)+1),""))-(IFERROR(INDEX(Raw_Financials!$H$2:$H$76, MATCH(1, (Raw_Financials!$A$2:$A$76="Tata Power")*(Raw_Financials!$B$2:$B$76="2020"),0)+1),"")))=""),"",(IFERROR(INDEX(Raw_Financials!$C$2:$C$76, MATCH(1, (Raw_Financials!$A$2:$A$76="Tata Power")*(Raw_Financials!$B$2:$B$76="2020"),0)+1),""))/(IF(OR(IFERROR(INDEX(Raw_Financials!$G$2:$G$76, MATCH(1, (Raw_Financials!$A$2:$A$76="Tata Power")*(Raw_Financials!$B$2:$B$76="2020"),0)+1),"")="",IFERROR(INDEX(Raw_Financials!$H$2:$H$76, MATCH(1, (Raw_Financials!$A$2:$A$76="Tata Power")*(Raw_Financials!$B$2:$B$76="2020"),0)+1),"")=""),"",(IFERROR(INDEX(Raw_Financials!$G$2:$G$76, MATCH(1, (Raw_Financials!$A$2:$A$76="Tata Power")*(Raw_Financials!$B$2:$B$76="2020"),0)+1),""))-(IFERROR(INDEX(Raw_Financials!$H$2:$H$76, MATCH(1, (Raw_Financials!$A$2:$A$76="Tata Power")*(Raw_Financials!$B$2:$B$76="2020"),0)+1),"")))))</f>
        <v>1.0134198956683385</v>
      </c>
      <c r="G32" cm="1">
        <f t="array" ref="G32">IF(OR(IFERROR(INDEX(Raw_Financials!$O$2:$O$76, MATCH(1, (Raw_Financials!$A$2:$A$76="Tata Power")*(Raw_Financials!$B$2:$B$76="2020"),0)+1),"")="",IFERROR(INDEX(Raw_Financials!$M$2:$M$76, MATCH(1, (Raw_Financials!$A$2:$A$76="Tata Power")*(Raw_Financials!$B$2:$B$76="2020"),0)+1),"")=""),"",(IFERROR(INDEX(Raw_Financials!$O$2:$O$76, MATCH(1, (Raw_Financials!$A$2:$A$76="Tata Power")*(Raw_Financials!$B$2:$B$76="2020"),0)+1),""))/(IFERROR(INDEX(Raw_Financials!$M$2:$M$76, MATCH(1, (Raw_Financials!$A$2:$A$76="Tata Power")*(Raw_Financials!$B$2:$B$76="2020"),0)+1),"")))</f>
        <v>1.764700110183427</v>
      </c>
      <c r="H32" cm="1">
        <f t="array" ref="H32">IF(OR(IFERROR(INDEX(Raw_Financials!$M$2:$M$76, MATCH(1, (Raw_Financials!$A$2:$A$76="Tata Power")*(Raw_Financials!$B$2:$B$76="2020"),0)+1),"")="",IFERROR(INDEX(Raw_Financials!$L$2:$L$76, MATCH(1, (Raw_Financials!$A$2:$A$76="Tata Power")*(Raw_Financials!$B$2:$B$76="2020"),0)+1),"")=""),"",(IFERROR(INDEX(Raw_Financials!$M$2:$M$76, MATCH(1, (Raw_Financials!$A$2:$A$76="Tata Power")*(Raw_Financials!$B$2:$B$76="2020"),0)+1),""))/(IFERROR(INDEX(Raw_Financials!$L$2:$L$76, MATCH(1, (Raw_Financials!$A$2:$A$76="Tata Power")*(Raw_Financials!$B$2:$B$76="2020"),0)+1),"")))</f>
        <v>5.810886813492627</v>
      </c>
      <c r="I32" cm="1">
        <f t="array" ref="I32">IF(OR(IFERROR(INDEX(Raw_Financials!$N$2:$N$76, MATCH(1, (Raw_Financials!$A$2:$A$76="Tata Power")*(Raw_Financials!$B$2:$B$76="2020"),0)+1),"")="",IFERROR(INDEX(Raw_Financials!$J$2:$J$76, MATCH(1, (Raw_Financials!$A$2:$A$76="Tata Power")*(Raw_Financials!$B$2:$B$76="2020"),0)+1),"")=""),"",(IFERROR(INDEX(Raw_Financials!$N$2:$N$76, MATCH(1, (Raw_Financials!$A$2:$A$76="Tata Power")*(Raw_Financials!$B$2:$B$76="2020"),0)+1),""))-(IFERROR(INDEX(Raw_Financials!$J$2:$J$76, MATCH(1, (Raw_Financials!$A$2:$A$76="Tata Power")*(Raw_Financials!$B$2:$B$76="2020"),0)+1),"")))</f>
        <v>8913.31</v>
      </c>
      <c r="J32" cm="1">
        <f t="array" ref="J32">IF(OR(IFERROR(INDEX(Raw_Financials!$M$2:$M$76, MATCH(1, (Raw_Financials!$A$2:$A$76="Tata Power")*(Raw_Financials!$B$2:$B$76="2020"),0)+1),"")="",IFERROR(INDEX(Raw_Financials!$C$2:$C$76, MATCH(1, (Raw_Financials!$A$2:$A$76="Tata Power")*(Raw_Financials!$B$2:$B$76="2020"),0)+1),"")=""),"",(IFERROR(INDEX(Raw_Financials!$M$2:$M$76, MATCH(1, (Raw_Financials!$A$2:$A$76="Tata Power")*(Raw_Financials!$B$2:$B$76="2020"),0)+1),""))/(IFERROR(INDEX(Raw_Financials!$C$2:$C$76, MATCH(1, (Raw_Financials!$A$2:$A$76="Tata Power")*(Raw_Financials!$B$2:$B$76="2020"),0)+1),"")))</f>
        <v>0.68259923238933851</v>
      </c>
      <c r="K32" cm="1">
        <f t="array" ref="K32">IF(OR(IFERROR(INDEX(Raw_ESG!$C$2:$C$76, MATCH(1, (Raw_ESG!$A$2:$A$76="Tata Power")*(Raw_ESG!$B$2:$B$76="2020"),0)+1),"")="",IFERROR(INDEX(Raw_Financials!$J$2:$J$76, MATCH(1, (Raw_Financials!$A$2:$A$76="Tata Power")*(Raw_Financials!$B$2:$B$76="2020"),0)+1),"")=""),"",(IFERROR(INDEX(Raw_ESG!$C$2:$C$76, MATCH(1, (Raw_ESG!$A$2:$A$76="Tata Power")*(Raw_ESG!$B$2:$B$76="2020"),0)+1),""))/(IFERROR(INDEX(Raw_Financials!$J$2:$J$76, MATCH(1, (Raw_Financials!$A$2:$A$76="Tata Power")*(Raw_Financials!$B$2:$B$76="2020"),0)+1),"")))</f>
        <v>0.61724353781574481</v>
      </c>
      <c r="L32" cm="1">
        <f t="array" ref="L32">IF(OR(IFERROR(INDEX(Raw_ESG!$D$2:$D$76, MATCH(1, (Raw_ESG!$A$2:$A$76="Tata Power")*(Raw_ESG!$B$2:$B$76="2020"),0)+1),"")="",IFERROR(INDEX(Raw_Financials!$E$2:$E$76, MATCH(1, (Raw_Financials!$A$2:$A$76="Tata Power")*(Raw_Financials!$B$2:$B$76="2020"),0)+1),"")=""),"",(IFERROR(INDEX(Raw_ESG!$D$2:$D$76, MATCH(1, (Raw_ESG!$A$2:$A$76="Tata Power")*(Raw_ESG!$B$2:$B$76="2020"),0)+1),""))/(IFERROR(INDEX(Raw_Financials!$E$2:$E$76, MATCH(1, (Raw_Financials!$A$2:$A$76="Tata Power")*(Raw_Financials!$B$2:$B$76="2020"),0)+1),"")))</f>
        <v>8.8692442544778274E-2</v>
      </c>
      <c r="M32" cm="1">
        <f t="array" ref="M32">IF(OR(IFERROR(INDEX(Raw_ESG!$E$2:$E$76, MATCH(1, (Raw_ESG!$A$2:$A$76="Tata Power")*(Raw_ESG!$B$2:$B$76="2020"),0)+1),"")="",IFERROR(INDEX(Raw_ESG!$F$2:$F$76, MATCH(1, (Raw_ESG!$A$2:$A$76="Tata Power")*(Raw_ESG!$B$2:$B$76="2020"),0)+1),"")=""),"",(IFERROR(INDEX(Raw_ESG!$E$2:$E$76, MATCH(1, (Raw_ESG!$A$2:$A$76="Tata Power")*(Raw_ESG!$B$2:$B$76="2020"),0)+1),""))+(IFERROR(INDEX(Raw_ESG!$F$2:$F$76, MATCH(1, (Raw_ESG!$A$2:$A$76="Tata Power")*(Raw_ESG!$B$2:$B$76="2020"),0)+1),"")))</f>
        <v>133155.09</v>
      </c>
      <c r="N32" cm="1">
        <f t="array" ref="N32">IFERROR(INDEX(Raw_ESG!$G$2:$G$76, MATCH(1, (Raw_ESG!$A$2:$A$76="Tata Power")*(Raw_ESG!$B$2:$B$76="2020"),0)+1),"")</f>
        <v>77.89</v>
      </c>
    </row>
    <row r="33" spans="1:14" x14ac:dyDescent="0.35">
      <c r="A33" t="s">
        <v>8</v>
      </c>
      <c r="B33" t="s">
        <v>34</v>
      </c>
      <c r="C33" cm="1">
        <f t="array" ref="C33">IF(OR(IFERROR(INDEX(Raw_Financials!$E$2:$E$76, MATCH(1, (Raw_Financials!$A$2:$A$76="Tata Power")*(Raw_Financials!$B$2:$B$76="2021"),0)+1),"")="",IFERROR(INDEX(Raw_Financials!$D$2:$D$76, MATCH(1, (Raw_Financials!$A$2:$A$76="Tata Power")*(Raw_Financials!$B$2:$B$76="2021"),0)+1),"")=""),"",(IFERROR(INDEX(Raw_Financials!$D$2:$D$76, MATCH(1, (Raw_Financials!$A$2:$A$76="Tata Power")*(Raw_Financials!$B$2:$B$76="2021"),0)+1),""))/(IFERROR(INDEX(Raw_Financials!$E$2:$E$76, MATCH(1, (Raw_Financials!$A$2:$A$76="Tata Power")*(Raw_Financials!$B$2:$B$76="2021"),0)+1),"")))</f>
        <v>6.6810396004614012E-2</v>
      </c>
      <c r="D33" cm="1">
        <f t="array" ref="D33">IF(OR(IFERROR(INDEX(Raw_Financials!$E$2:$E$76, MATCH(1, (Raw_Financials!$A$2:$A$76="Tata Power")*(Raw_Financials!$B$2:$B$76="2021"),0)+1),"")="",IFERROR(INDEX(Raw_Financials!$C$2:$C$76, MATCH(1, (Raw_Financials!$A$2:$A$76="Tata Power")*(Raw_Financials!$B$2:$B$76="2021"),0)+1),"")=""),"",(IFERROR(INDEX(Raw_Financials!$C$2:$C$76, MATCH(1, (Raw_Financials!$A$2:$A$76="Tata Power")*(Raw_Financials!$B$2:$B$76="2021"),0)+1),""))/(IFERROR(INDEX(Raw_Financials!$E$2:$E$76, MATCH(1, (Raw_Financials!$A$2:$A$76="Tata Power")*(Raw_Financials!$B$2:$B$76="2021"),0)+1),"")))</f>
        <v>0.39439497486959874</v>
      </c>
      <c r="E33" cm="1">
        <f t="array" ref="E33">IF(OR(IFERROR(INDEX(Raw_Financials!$G$2:$G$76, MATCH(1, (Raw_Financials!$A$2:$A$76="Tata Power")*(Raw_Financials!$B$2:$B$76="2021"),0)+1),"")="",IFERROR(INDEX(Raw_Financials!$H$2:$H$76, MATCH(1, (Raw_Financials!$A$2:$A$76="Tata Power")*(Raw_Financials!$B$2:$B$76="2021"),0)+1),"")=""),"",(IFERROR(INDEX(Raw_Financials!$G$2:$G$76, MATCH(1, (Raw_Financials!$A$2:$A$76="Tata Power")*(Raw_Financials!$B$2:$B$76="2021"),0)+1),""))-(IFERROR(INDEX(Raw_Financials!$H$2:$H$76, MATCH(1, (Raw_Financials!$A$2:$A$76="Tata Power")*(Raw_Financials!$B$2:$B$76="2021"),0)+1),"")))</f>
        <v>1337.8300000000017</v>
      </c>
      <c r="F33" cm="1">
        <f t="array" ref="F33">IF(OR(IFERROR(INDEX(Raw_Financials!$C$2:$C$76, MATCH(1, (Raw_Financials!$A$2:$A$76="Tata Power")*(Raw_Financials!$B$2:$B$76="2021"),0)+1),"")="",IF(OR(IFERROR(INDEX(Raw_Financials!$G$2:$G$76, MATCH(1, (Raw_Financials!$A$2:$A$76="Tata Power")*(Raw_Financials!$B$2:$B$76="2021"),0)+1),"")="",IFERROR(INDEX(Raw_Financials!$H$2:$H$76, MATCH(1, (Raw_Financials!$A$2:$A$76="Tata Power")*(Raw_Financials!$B$2:$B$76="2021"),0)+1),"")=""),"",(IFERROR(INDEX(Raw_Financials!$G$2:$G$76, MATCH(1, (Raw_Financials!$A$2:$A$76="Tata Power")*(Raw_Financials!$B$2:$B$76="2021"),0)+1),""))-(IFERROR(INDEX(Raw_Financials!$H$2:$H$76, MATCH(1, (Raw_Financials!$A$2:$A$76="Tata Power")*(Raw_Financials!$B$2:$B$76="2021"),0)+1),"")))=""),"",(IFERROR(INDEX(Raw_Financials!$C$2:$C$76, MATCH(1, (Raw_Financials!$A$2:$A$76="Tata Power")*(Raw_Financials!$B$2:$B$76="2021"),0)+1),""))/(IF(OR(IFERROR(INDEX(Raw_Financials!$G$2:$G$76, MATCH(1, (Raw_Financials!$A$2:$A$76="Tata Power")*(Raw_Financials!$B$2:$B$76="2021"),0)+1),"")="",IFERROR(INDEX(Raw_Financials!$H$2:$H$76, MATCH(1, (Raw_Financials!$A$2:$A$76="Tata Power")*(Raw_Financials!$B$2:$B$76="2021"),0)+1),"")=""),"",(IFERROR(INDEX(Raw_Financials!$G$2:$G$76, MATCH(1, (Raw_Financials!$A$2:$A$76="Tata Power")*(Raw_Financials!$B$2:$B$76="2021"),0)+1),""))-(IFERROR(INDEX(Raw_Financials!$H$2:$H$76, MATCH(1, (Raw_Financials!$A$2:$A$76="Tata Power")*(Raw_Financials!$B$2:$B$76="2021"),0)+1),"")))))</f>
        <v>42.210093958126166</v>
      </c>
      <c r="G33" cm="1">
        <f t="array" ref="G33">IF(OR(IFERROR(INDEX(Raw_Financials!$O$2:$O$76, MATCH(1, (Raw_Financials!$A$2:$A$76="Tata Power")*(Raw_Financials!$B$2:$B$76="2021"),0)+1),"")="",IFERROR(INDEX(Raw_Financials!$M$2:$M$76, MATCH(1, (Raw_Financials!$A$2:$A$76="Tata Power")*(Raw_Financials!$B$2:$B$76="2021"),0)+1),"")=""),"",(IFERROR(INDEX(Raw_Financials!$O$2:$O$76, MATCH(1, (Raw_Financials!$A$2:$A$76="Tata Power")*(Raw_Financials!$B$2:$B$76="2021"),0)+1),""))/(IFERROR(INDEX(Raw_Financials!$M$2:$M$76, MATCH(1, (Raw_Financials!$A$2:$A$76="Tata Power")*(Raw_Financials!$B$2:$B$76="2021"),0)+1),"")))</f>
        <v>2.0336302669263135</v>
      </c>
      <c r="H33" cm="1">
        <f t="array" ref="H33">IF(OR(IFERROR(INDEX(Raw_Financials!$M$2:$M$76, MATCH(1, (Raw_Financials!$A$2:$A$76="Tata Power")*(Raw_Financials!$B$2:$B$76="2021"),0)+1),"")="",IFERROR(INDEX(Raw_Financials!$L$2:$L$76, MATCH(1, (Raw_Financials!$A$2:$A$76="Tata Power")*(Raw_Financials!$B$2:$B$76="2021"),0)+1),"")=""),"",(IFERROR(INDEX(Raw_Financials!$M$2:$M$76, MATCH(1, (Raw_Financials!$A$2:$A$76="Tata Power")*(Raw_Financials!$B$2:$B$76="2021"),0)+1),""))/(IFERROR(INDEX(Raw_Financials!$L$2:$L$76, MATCH(1, (Raw_Financials!$A$2:$A$76="Tata Power")*(Raw_Financials!$B$2:$B$76="2021"),0)+1),"")))</f>
        <v>2.7495698658672021</v>
      </c>
      <c r="I33" cm="1">
        <f t="array" ref="I33">IF(OR(IFERROR(INDEX(Raw_Financials!$N$2:$N$76, MATCH(1, (Raw_Financials!$A$2:$A$76="Tata Power")*(Raw_Financials!$B$2:$B$76="2021"),0)+1),"")="",IFERROR(INDEX(Raw_Financials!$J$2:$J$76, MATCH(1, (Raw_Financials!$A$2:$A$76="Tata Power")*(Raw_Financials!$B$2:$B$76="2021"),0)+1),"")=""),"",(IFERROR(INDEX(Raw_Financials!$N$2:$N$76, MATCH(1, (Raw_Financials!$A$2:$A$76="Tata Power")*(Raw_Financials!$B$2:$B$76="2021"),0)+1),""))-(IFERROR(INDEX(Raw_Financials!$J$2:$J$76, MATCH(1, (Raw_Financials!$A$2:$A$76="Tata Power")*(Raw_Financials!$B$2:$B$76="2021"),0)+1),"")))</f>
        <v>20193.68</v>
      </c>
      <c r="J33" cm="1">
        <f t="array" ref="J33">IF(OR(IFERROR(INDEX(Raw_Financials!$M$2:$M$76, MATCH(1, (Raw_Financials!$A$2:$A$76="Tata Power")*(Raw_Financials!$B$2:$B$76="2021"),0)+1),"")="",IFERROR(INDEX(Raw_Financials!$C$2:$C$76, MATCH(1, (Raw_Financials!$A$2:$A$76="Tata Power")*(Raw_Financials!$B$2:$B$76="2021"),0)+1),"")=""),"",(IFERROR(INDEX(Raw_Financials!$M$2:$M$76, MATCH(1, (Raw_Financials!$A$2:$A$76="Tata Power")*(Raw_Financials!$B$2:$B$76="2021"),0)+1),""))/(IFERROR(INDEX(Raw_Financials!$C$2:$C$76, MATCH(1, (Raw_Financials!$A$2:$A$76="Tata Power")*(Raw_Financials!$B$2:$B$76="2021"),0)+1),"")))</f>
        <v>0.33846579940864102</v>
      </c>
      <c r="K33" cm="1">
        <f t="array" ref="K33">IF(OR(IFERROR(INDEX(Raw_ESG!$C$2:$C$76, MATCH(1, (Raw_ESG!$A$2:$A$76="Tata Power")*(Raw_ESG!$B$2:$B$76="2021"),0)+1),"")="",IFERROR(INDEX(Raw_Financials!$J$2:$J$76, MATCH(1, (Raw_Financials!$A$2:$A$76="Tata Power")*(Raw_Financials!$B$2:$B$76="2021"),0)+1),"")=""),"",(IFERROR(INDEX(Raw_ESG!$C$2:$C$76, MATCH(1, (Raw_ESG!$A$2:$A$76="Tata Power")*(Raw_ESG!$B$2:$B$76="2021"),0)+1),""))/(IFERROR(INDEX(Raw_Financials!$J$2:$J$76, MATCH(1, (Raw_Financials!$A$2:$A$76="Tata Power")*(Raw_Financials!$B$2:$B$76="2021"),0)+1),"")))</f>
        <v>0.36176617842330561</v>
      </c>
      <c r="L33" cm="1">
        <f t="array" ref="L33">IF(OR(IFERROR(INDEX(Raw_ESG!$D$2:$D$76, MATCH(1, (Raw_ESG!$A$2:$A$76="Tata Power")*(Raw_ESG!$B$2:$B$76="2021"),0)+1),"")="",IFERROR(INDEX(Raw_Financials!$E$2:$E$76, MATCH(1, (Raw_Financials!$A$2:$A$76="Tata Power")*(Raw_Financials!$B$2:$B$76="2021"),0)+1),"")=""),"",(IFERROR(INDEX(Raw_ESG!$D$2:$D$76, MATCH(1, (Raw_ESG!$A$2:$A$76="Tata Power")*(Raw_ESG!$B$2:$B$76="2021"),0)+1),""))/(IFERROR(INDEX(Raw_Financials!$E$2:$E$76, MATCH(1, (Raw_Financials!$A$2:$A$76="Tata Power")*(Raw_Financials!$B$2:$B$76="2021"),0)+1),"")))</f>
        <v>0.17537935856924192</v>
      </c>
      <c r="M33" cm="1">
        <f t="array" ref="M33">IF(OR(IFERROR(INDEX(Raw_ESG!$E$2:$E$76, MATCH(1, (Raw_ESG!$A$2:$A$76="Tata Power")*(Raw_ESG!$B$2:$B$76="2021"),0)+1),"")="",IFERROR(INDEX(Raw_ESG!$F$2:$F$76, MATCH(1, (Raw_ESG!$A$2:$A$76="Tata Power")*(Raw_ESG!$B$2:$B$76="2021"),0)+1),"")=""),"",(IFERROR(INDEX(Raw_ESG!$E$2:$E$76, MATCH(1, (Raw_ESG!$A$2:$A$76="Tata Power")*(Raw_ESG!$B$2:$B$76="2021"),0)+1),""))+(IFERROR(INDEX(Raw_ESG!$F$2:$F$76, MATCH(1, (Raw_ESG!$A$2:$A$76="Tata Power")*(Raw_ESG!$B$2:$B$76="2021"),0)+1),"")))</f>
        <v>202270.84999999998</v>
      </c>
      <c r="N33" cm="1">
        <f t="array" ref="N33">IFERROR(INDEX(Raw_ESG!$G$2:$G$76, MATCH(1, (Raw_ESG!$A$2:$A$76="Tata Power")*(Raw_ESG!$B$2:$B$76="2021"),0)+1),"")</f>
        <v>40.72</v>
      </c>
    </row>
    <row r="34" spans="1:14" x14ac:dyDescent="0.35">
      <c r="A34" t="s">
        <v>8</v>
      </c>
      <c r="B34" t="s">
        <v>35</v>
      </c>
      <c r="C34" cm="1">
        <f t="array" ref="C34">IF(OR(IFERROR(INDEX(Raw_Financials!$E$2:$E$76, MATCH(1, (Raw_Financials!$A$2:$A$76="Tata Power")*(Raw_Financials!$B$2:$B$76="2022"),0)+1),"")="",IFERROR(INDEX(Raw_Financials!$D$2:$D$76, MATCH(1, (Raw_Financials!$A$2:$A$76="Tata Power")*(Raw_Financials!$B$2:$B$76="2022"),0)+1),"")=""),"",(IFERROR(INDEX(Raw_Financials!$D$2:$D$76, MATCH(1, (Raw_Financials!$A$2:$A$76="Tata Power")*(Raw_Financials!$B$2:$B$76="2022"),0)+1),""))/(IFERROR(INDEX(Raw_Financials!$E$2:$E$76, MATCH(1, (Raw_Financials!$A$2:$A$76="Tata Power")*(Raw_Financials!$B$2:$B$76="2022"),0)+1),"")))</f>
        <v>0.10003727201183474</v>
      </c>
      <c r="D34" cm="1">
        <f t="array" ref="D34">IF(OR(IFERROR(INDEX(Raw_Financials!$E$2:$E$76, MATCH(1, (Raw_Financials!$A$2:$A$76="Tata Power")*(Raw_Financials!$B$2:$B$76="2022"),0)+1),"")="",IFERROR(INDEX(Raw_Financials!$C$2:$C$76, MATCH(1, (Raw_Financials!$A$2:$A$76="Tata Power")*(Raw_Financials!$B$2:$B$76="2022"),0)+1),"")=""),"",(IFERROR(INDEX(Raw_Financials!$C$2:$C$76, MATCH(1, (Raw_Financials!$A$2:$A$76="Tata Power")*(Raw_Financials!$B$2:$B$76="2022"),0)+1),""))/(IFERROR(INDEX(Raw_Financials!$E$2:$E$76, MATCH(1, (Raw_Financials!$A$2:$A$76="Tata Power")*(Raw_Financials!$B$2:$B$76="2022"),0)+1),"")))</f>
        <v>0.49235531420421375</v>
      </c>
      <c r="E34" cm="1">
        <f t="array" ref="E34">IF(OR(IFERROR(INDEX(Raw_Financials!$G$2:$G$76, MATCH(1, (Raw_Financials!$A$2:$A$76="Tata Power")*(Raw_Financials!$B$2:$B$76="2022"),0)+1),"")="",IFERROR(INDEX(Raw_Financials!$H$2:$H$76, MATCH(1, (Raw_Financials!$A$2:$A$76="Tata Power")*(Raw_Financials!$B$2:$B$76="2022"),0)+1),"")=""),"",(IFERROR(INDEX(Raw_Financials!$G$2:$G$76, MATCH(1, (Raw_Financials!$A$2:$A$76="Tata Power")*(Raw_Financials!$B$2:$B$76="2022"),0)+1),""))-(IFERROR(INDEX(Raw_Financials!$H$2:$H$76, MATCH(1, (Raw_Financials!$A$2:$A$76="Tata Power")*(Raw_Financials!$B$2:$B$76="2022"),0)+1),"")))</f>
        <v>23503.58</v>
      </c>
      <c r="F34" cm="1">
        <f t="array" ref="F34">IF(OR(IFERROR(INDEX(Raw_Financials!$C$2:$C$76, MATCH(1, (Raw_Financials!$A$2:$A$76="Tata Power")*(Raw_Financials!$B$2:$B$76="2022"),0)+1),"")="",IF(OR(IFERROR(INDEX(Raw_Financials!$G$2:$G$76, MATCH(1, (Raw_Financials!$A$2:$A$76="Tata Power")*(Raw_Financials!$B$2:$B$76="2022"),0)+1),"")="",IFERROR(INDEX(Raw_Financials!$H$2:$H$76, MATCH(1, (Raw_Financials!$A$2:$A$76="Tata Power")*(Raw_Financials!$B$2:$B$76="2022"),0)+1),"")=""),"",(IFERROR(INDEX(Raw_Financials!$G$2:$G$76, MATCH(1, (Raw_Financials!$A$2:$A$76="Tata Power")*(Raw_Financials!$B$2:$B$76="2022"),0)+1),""))-(IFERROR(INDEX(Raw_Financials!$H$2:$H$76, MATCH(1, (Raw_Financials!$A$2:$A$76="Tata Power")*(Raw_Financials!$B$2:$B$76="2022"),0)+1),"")))=""),"",(IFERROR(INDEX(Raw_Financials!$C$2:$C$76, MATCH(1, (Raw_Financials!$A$2:$A$76="Tata Power")*(Raw_Financials!$B$2:$B$76="2022"),0)+1),""))/(IF(OR(IFERROR(INDEX(Raw_Financials!$G$2:$G$76, MATCH(1, (Raw_Financials!$A$2:$A$76="Tata Power")*(Raw_Financials!$B$2:$B$76="2022"),0)+1),"")="",IFERROR(INDEX(Raw_Financials!$H$2:$H$76, MATCH(1, (Raw_Financials!$A$2:$A$76="Tata Power")*(Raw_Financials!$B$2:$B$76="2022"),0)+1),"")=""),"",(IFERROR(INDEX(Raw_Financials!$G$2:$G$76, MATCH(1, (Raw_Financials!$A$2:$A$76="Tata Power")*(Raw_Financials!$B$2:$B$76="2022"),0)+1),""))-(IFERROR(INDEX(Raw_Financials!$H$2:$H$76, MATCH(1, (Raw_Financials!$A$2:$A$76="Tata Power")*(Raw_Financials!$B$2:$B$76="2022"),0)+1),"")))))</f>
        <v>1.8153664250297188</v>
      </c>
      <c r="G34" cm="1">
        <f t="array" ref="G34">IF(OR(IFERROR(INDEX(Raw_Financials!$O$2:$O$76, MATCH(1, (Raw_Financials!$A$2:$A$76="Tata Power")*(Raw_Financials!$B$2:$B$76="2022"),0)+1),"")="",IFERROR(INDEX(Raw_Financials!$M$2:$M$76, MATCH(1, (Raw_Financials!$A$2:$A$76="Tata Power")*(Raw_Financials!$B$2:$B$76="2022"),0)+1),"")=""),"",(IFERROR(INDEX(Raw_Financials!$O$2:$O$76, MATCH(1, (Raw_Financials!$A$2:$A$76="Tata Power")*(Raw_Financials!$B$2:$B$76="2022"),0)+1),""))/(IFERROR(INDEX(Raw_Financials!$M$2:$M$76, MATCH(1, (Raw_Financials!$A$2:$A$76="Tata Power")*(Raw_Financials!$B$2:$B$76="2022"),0)+1),"")))</f>
        <v>4.9898251931357027</v>
      </c>
      <c r="H34" cm="1">
        <f t="array" ref="H34">IF(OR(IFERROR(INDEX(Raw_Financials!$M$2:$M$76, MATCH(1, (Raw_Financials!$A$2:$A$76="Tata Power")*(Raw_Financials!$B$2:$B$76="2022"),0)+1),"")="",IFERROR(INDEX(Raw_Financials!$L$2:$L$76, MATCH(1, (Raw_Financials!$A$2:$A$76="Tata Power")*(Raw_Financials!$B$2:$B$76="2022"),0)+1),"")=""),"",(IFERROR(INDEX(Raw_Financials!$M$2:$M$76, MATCH(1, (Raw_Financials!$A$2:$A$76="Tata Power")*(Raw_Financials!$B$2:$B$76="2022"),0)+1),""))/(IFERROR(INDEX(Raw_Financials!$L$2:$L$76, MATCH(1, (Raw_Financials!$A$2:$A$76="Tata Power")*(Raw_Financials!$B$2:$B$76="2022"),0)+1),"")))</f>
        <v>2.2371878196925552</v>
      </c>
      <c r="I34" cm="1">
        <f t="array" ref="I34">IF(OR(IFERROR(INDEX(Raw_Financials!$N$2:$N$76, MATCH(1, (Raw_Financials!$A$2:$A$76="Tata Power")*(Raw_Financials!$B$2:$B$76="2022"),0)+1),"")="",IFERROR(INDEX(Raw_Financials!$J$2:$J$76, MATCH(1, (Raw_Financials!$A$2:$A$76="Tata Power")*(Raw_Financials!$B$2:$B$76="2022"),0)+1),"")=""),"",(IFERROR(INDEX(Raw_Financials!$N$2:$N$76, MATCH(1, (Raw_Financials!$A$2:$A$76="Tata Power")*(Raw_Financials!$B$2:$B$76="2022"),0)+1),""))-(IFERROR(INDEX(Raw_Financials!$J$2:$J$76, MATCH(1, (Raw_Financials!$A$2:$A$76="Tata Power")*(Raw_Financials!$B$2:$B$76="2022"),0)+1),"")))</f>
        <v>27177.9</v>
      </c>
      <c r="J34" cm="1">
        <f t="array" ref="J34">IF(OR(IFERROR(INDEX(Raw_Financials!$M$2:$M$76, MATCH(1, (Raw_Financials!$A$2:$A$76="Tata Power")*(Raw_Financials!$B$2:$B$76="2022"),0)+1),"")="",IFERROR(INDEX(Raw_Financials!$C$2:$C$76, MATCH(1, (Raw_Financials!$A$2:$A$76="Tata Power")*(Raw_Financials!$B$2:$B$76="2022"),0)+1),"")=""),"",(IFERROR(INDEX(Raw_Financials!$M$2:$M$76, MATCH(1, (Raw_Financials!$A$2:$A$76="Tata Power")*(Raw_Financials!$B$2:$B$76="2022"),0)+1),""))/(IFERROR(INDEX(Raw_Financials!$C$2:$C$76, MATCH(1, (Raw_Financials!$A$2:$A$76="Tata Power")*(Raw_Financials!$B$2:$B$76="2022"),0)+1),"")))</f>
        <v>0.31059485169195089</v>
      </c>
      <c r="K34" cm="1">
        <f t="array" ref="K34">IF(OR(IFERROR(INDEX(Raw_ESG!$C$2:$C$76, MATCH(1, (Raw_ESG!$A$2:$A$76="Tata Power")*(Raw_ESG!$B$2:$B$76="2022"),0)+1),"")="",IFERROR(INDEX(Raw_Financials!$J$2:$J$76, MATCH(1, (Raw_Financials!$A$2:$A$76="Tata Power")*(Raw_Financials!$B$2:$B$76="2022"),0)+1),"")=""),"",(IFERROR(INDEX(Raw_ESG!$C$2:$C$76, MATCH(1, (Raw_ESG!$A$2:$A$76="Tata Power")*(Raw_ESG!$B$2:$B$76="2022"),0)+1),""))/(IFERROR(INDEX(Raw_Financials!$J$2:$J$76, MATCH(1, (Raw_Financials!$A$2:$A$76="Tata Power")*(Raw_Financials!$B$2:$B$76="2022"),0)+1),"")))</f>
        <v>0.89489554407012484</v>
      </c>
      <c r="L34" cm="1">
        <f t="array" ref="L34">IF(OR(IFERROR(INDEX(Raw_ESG!$D$2:$D$76, MATCH(1, (Raw_ESG!$A$2:$A$76="Tata Power")*(Raw_ESG!$B$2:$B$76="2022"),0)+1),"")="",IFERROR(INDEX(Raw_Financials!$E$2:$E$76, MATCH(1, (Raw_Financials!$A$2:$A$76="Tata Power")*(Raw_Financials!$B$2:$B$76="2022"),0)+1),"")=""),"",(IFERROR(INDEX(Raw_ESG!$D$2:$D$76, MATCH(1, (Raw_ESG!$A$2:$A$76="Tata Power")*(Raw_ESG!$B$2:$B$76="2022"),0)+1),""))/(IFERROR(INDEX(Raw_Financials!$E$2:$E$76, MATCH(1, (Raw_Financials!$A$2:$A$76="Tata Power")*(Raw_Financials!$B$2:$B$76="2022"),0)+1),"")))</f>
        <v>0.16819670390790697</v>
      </c>
      <c r="M34" cm="1">
        <f t="array" ref="M34">IF(OR(IFERROR(INDEX(Raw_ESG!$E$2:$E$76, MATCH(1, (Raw_ESG!$A$2:$A$76="Tata Power")*(Raw_ESG!$B$2:$B$76="2022"),0)+1),"")="",IFERROR(INDEX(Raw_ESG!$F$2:$F$76, MATCH(1, (Raw_ESG!$A$2:$A$76="Tata Power")*(Raw_ESG!$B$2:$B$76="2022"),0)+1),"")=""),"",(IFERROR(INDEX(Raw_ESG!$E$2:$E$76, MATCH(1, (Raw_ESG!$A$2:$A$76="Tata Power")*(Raw_ESG!$B$2:$B$76="2022"),0)+1),""))+(IFERROR(INDEX(Raw_ESG!$F$2:$F$76, MATCH(1, (Raw_ESG!$A$2:$A$76="Tata Power")*(Raw_ESG!$B$2:$B$76="2022"),0)+1),"")))</f>
        <v>191237</v>
      </c>
      <c r="N34" cm="1">
        <f t="array" ref="N34">IFERROR(INDEX(Raw_ESG!$G$2:$G$76, MATCH(1, (Raw_ESG!$A$2:$A$76="Tata Power")*(Raw_ESG!$B$2:$B$76="2022"),0)+1),"")</f>
        <v>45.8</v>
      </c>
    </row>
    <row r="35" spans="1:14" x14ac:dyDescent="0.35">
      <c r="A35" t="s">
        <v>8</v>
      </c>
      <c r="B35" t="s">
        <v>36</v>
      </c>
      <c r="C35" cm="1">
        <f t="array" ref="C35">IF(OR(IFERROR(INDEX(Raw_Financials!$E$2:$E$76, MATCH(1, (Raw_Financials!$A$2:$A$76="Tata Power")*(Raw_Financials!$B$2:$B$76="2023"),0)+1),"")="",IFERROR(INDEX(Raw_Financials!$D$2:$D$76, MATCH(1, (Raw_Financials!$A$2:$A$76="Tata Power")*(Raw_Financials!$B$2:$B$76="2023"),0)+1),"")=""),"",(IFERROR(INDEX(Raw_Financials!$D$2:$D$76, MATCH(1, (Raw_Financials!$A$2:$A$76="Tata Power")*(Raw_Financials!$B$2:$B$76="2023"),0)+1),""))/(IFERROR(INDEX(Raw_Financials!$E$2:$E$76, MATCH(1, (Raw_Financials!$A$2:$A$76="Tata Power")*(Raw_Financials!$B$2:$B$76="2023"),0)+1),"")))</f>
        <v>3.418158742058916E-2</v>
      </c>
      <c r="D35" cm="1">
        <f t="array" ref="D35">IF(OR(IFERROR(INDEX(Raw_Financials!$E$2:$E$76, MATCH(1, (Raw_Financials!$A$2:$A$76="Tata Power")*(Raw_Financials!$B$2:$B$76="2023"),0)+1),"")="",IFERROR(INDEX(Raw_Financials!$C$2:$C$76, MATCH(1, (Raw_Financials!$A$2:$A$76="Tata Power")*(Raw_Financials!$B$2:$B$76="2023"),0)+1),"")=""),"",(IFERROR(INDEX(Raw_Financials!$C$2:$C$76, MATCH(1, (Raw_Financials!$A$2:$A$76="Tata Power")*(Raw_Financials!$B$2:$B$76="2023"),0)+1),""))/(IFERROR(INDEX(Raw_Financials!$E$2:$E$76, MATCH(1, (Raw_Financials!$A$2:$A$76="Tata Power")*(Raw_Financials!$B$2:$B$76="2023"),0)+1),"")))</f>
        <v>0.25904308362314948</v>
      </c>
      <c r="E35" cm="1">
        <f t="array" ref="E35">IF(OR(IFERROR(INDEX(Raw_Financials!$G$2:$G$76, MATCH(1, (Raw_Financials!$A$2:$A$76="Tata Power")*(Raw_Financials!$B$2:$B$76="2023"),0)+1),"")="",IFERROR(INDEX(Raw_Financials!$H$2:$H$76, MATCH(1, (Raw_Financials!$A$2:$A$76="Tata Power")*(Raw_Financials!$B$2:$B$76="2023"),0)+1),"")=""),"",(IFERROR(INDEX(Raw_Financials!$G$2:$G$76, MATCH(1, (Raw_Financials!$A$2:$A$76="Tata Power")*(Raw_Financials!$B$2:$B$76="2023"),0)+1),""))-(IFERROR(INDEX(Raw_Financials!$H$2:$H$76, MATCH(1, (Raw_Financials!$A$2:$A$76="Tata Power")*(Raw_Financials!$B$2:$B$76="2023"),0)+1),"")))</f>
        <v>6017.74</v>
      </c>
      <c r="F35" cm="1">
        <f t="array" ref="F35">IF(OR(IFERROR(INDEX(Raw_Financials!$C$2:$C$76, MATCH(1, (Raw_Financials!$A$2:$A$76="Tata Power")*(Raw_Financials!$B$2:$B$76="2023"),0)+1),"")="",IF(OR(IFERROR(INDEX(Raw_Financials!$G$2:$G$76, MATCH(1, (Raw_Financials!$A$2:$A$76="Tata Power")*(Raw_Financials!$B$2:$B$76="2023"),0)+1),"")="",IFERROR(INDEX(Raw_Financials!$H$2:$H$76, MATCH(1, (Raw_Financials!$A$2:$A$76="Tata Power")*(Raw_Financials!$B$2:$B$76="2023"),0)+1),"")=""),"",(IFERROR(INDEX(Raw_Financials!$G$2:$G$76, MATCH(1, (Raw_Financials!$A$2:$A$76="Tata Power")*(Raw_Financials!$B$2:$B$76="2023"),0)+1),""))-(IFERROR(INDEX(Raw_Financials!$H$2:$H$76, MATCH(1, (Raw_Financials!$A$2:$A$76="Tata Power")*(Raw_Financials!$B$2:$B$76="2023"),0)+1),"")))=""),"",(IFERROR(INDEX(Raw_Financials!$C$2:$C$76, MATCH(1, (Raw_Financials!$A$2:$A$76="Tata Power")*(Raw_Financials!$B$2:$B$76="2023"),0)+1),""))/(IF(OR(IFERROR(INDEX(Raw_Financials!$G$2:$G$76, MATCH(1, (Raw_Financials!$A$2:$A$76="Tata Power")*(Raw_Financials!$B$2:$B$76="2023"),0)+1),"")="",IFERROR(INDEX(Raw_Financials!$H$2:$H$76, MATCH(1, (Raw_Financials!$A$2:$A$76="Tata Power")*(Raw_Financials!$B$2:$B$76="2023"),0)+1),"")=""),"",(IFERROR(INDEX(Raw_Financials!$G$2:$G$76, MATCH(1, (Raw_Financials!$A$2:$A$76="Tata Power")*(Raw_Financials!$B$2:$B$76="2023"),0)+1),""))-(IFERROR(INDEX(Raw_Financials!$H$2:$H$76, MATCH(1, (Raw_Financials!$A$2:$A$76="Tata Power")*(Raw_Financials!$B$2:$B$76="2023"),0)+1),"")))))</f>
        <v>9.2511075586515883</v>
      </c>
      <c r="G35" cm="1">
        <f t="array" ref="G35">IF(OR(IFERROR(INDEX(Raw_Financials!$O$2:$O$76, MATCH(1, (Raw_Financials!$A$2:$A$76="Tata Power")*(Raw_Financials!$B$2:$B$76="2023"),0)+1),"")="",IFERROR(INDEX(Raw_Financials!$M$2:$M$76, MATCH(1, (Raw_Financials!$A$2:$A$76="Tata Power")*(Raw_Financials!$B$2:$B$76="2023"),0)+1),"")=""),"",(IFERROR(INDEX(Raw_Financials!$O$2:$O$76, MATCH(1, (Raw_Financials!$A$2:$A$76="Tata Power")*(Raw_Financials!$B$2:$B$76="2023"),0)+1),""))/(IFERROR(INDEX(Raw_Financials!$M$2:$M$76, MATCH(1, (Raw_Financials!$A$2:$A$76="Tata Power")*(Raw_Financials!$B$2:$B$76="2023"),0)+1),"")))</f>
        <v>3.3586359214006007</v>
      </c>
      <c r="H35" cm="1">
        <f t="array" ref="H35">IF(OR(IFERROR(INDEX(Raw_Financials!$M$2:$M$76, MATCH(1, (Raw_Financials!$A$2:$A$76="Tata Power")*(Raw_Financials!$B$2:$B$76="2023"),0)+1),"")="",IFERROR(INDEX(Raw_Financials!$L$2:$L$76, MATCH(1, (Raw_Financials!$A$2:$A$76="Tata Power")*(Raw_Financials!$B$2:$B$76="2023"),0)+1),"")=""),"",(IFERROR(INDEX(Raw_Financials!$M$2:$M$76, MATCH(1, (Raw_Financials!$A$2:$A$76="Tata Power")*(Raw_Financials!$B$2:$B$76="2023"),0)+1),""))/(IFERROR(INDEX(Raw_Financials!$L$2:$L$76, MATCH(1, (Raw_Financials!$A$2:$A$76="Tata Power")*(Raw_Financials!$B$2:$B$76="2023"),0)+1),"")))</f>
        <v>6.7288043344567177</v>
      </c>
      <c r="I35" cm="1">
        <f t="array" ref="I35">IF(OR(IFERROR(INDEX(Raw_Financials!$N$2:$N$76, MATCH(1, (Raw_Financials!$A$2:$A$76="Tata Power")*(Raw_Financials!$B$2:$B$76="2023"),0)+1),"")="",IFERROR(INDEX(Raw_Financials!$J$2:$J$76, MATCH(1, (Raw_Financials!$A$2:$A$76="Tata Power")*(Raw_Financials!$B$2:$B$76="2023"),0)+1),"")=""),"",(IFERROR(INDEX(Raw_Financials!$N$2:$N$76, MATCH(1, (Raw_Financials!$A$2:$A$76="Tata Power")*(Raw_Financials!$B$2:$B$76="2023"),0)+1),""))-(IFERROR(INDEX(Raw_Financials!$J$2:$J$76, MATCH(1, (Raw_Financials!$A$2:$A$76="Tata Power")*(Raw_Financials!$B$2:$B$76="2023"),0)+1),"")))</f>
        <v>8916.74</v>
      </c>
      <c r="J35" cm="1">
        <f t="array" ref="J35">IF(OR(IFERROR(INDEX(Raw_Financials!$M$2:$M$76, MATCH(1, (Raw_Financials!$A$2:$A$76="Tata Power")*(Raw_Financials!$B$2:$B$76="2023"),0)+1),"")="",IFERROR(INDEX(Raw_Financials!$C$2:$C$76, MATCH(1, (Raw_Financials!$A$2:$A$76="Tata Power")*(Raw_Financials!$B$2:$B$76="2023"),0)+1),"")=""),"",(IFERROR(INDEX(Raw_Financials!$M$2:$M$76, MATCH(1, (Raw_Financials!$A$2:$A$76="Tata Power")*(Raw_Financials!$B$2:$B$76="2023"),0)+1),""))/(IFERROR(INDEX(Raw_Financials!$C$2:$C$76, MATCH(1, (Raw_Financials!$A$2:$A$76="Tata Power")*(Raw_Financials!$B$2:$B$76="2023"),0)+1),"")))</f>
        <v>0.39307187471484134</v>
      </c>
      <c r="K35" cm="1">
        <f t="array" ref="K35">IF(OR(IFERROR(INDEX(Raw_ESG!$C$2:$C$76, MATCH(1, (Raw_ESG!$A$2:$A$76="Tata Power")*(Raw_ESG!$B$2:$B$76="2023"),0)+1),"")="",IFERROR(INDEX(Raw_Financials!$J$2:$J$76, MATCH(1, (Raw_Financials!$A$2:$A$76="Tata Power")*(Raw_Financials!$B$2:$B$76="2023"),0)+1),"")=""),"",(IFERROR(INDEX(Raw_ESG!$C$2:$C$76, MATCH(1, (Raw_ESG!$A$2:$A$76="Tata Power")*(Raw_ESG!$B$2:$B$76="2023"),0)+1),""))/(IFERROR(INDEX(Raw_Financials!$J$2:$J$76, MATCH(1, (Raw_Financials!$A$2:$A$76="Tata Power")*(Raw_Financials!$B$2:$B$76="2023"),0)+1),"")))</f>
        <v>0.55916548205223282</v>
      </c>
      <c r="L35" cm="1">
        <f t="array" ref="L35">IF(OR(IFERROR(INDEX(Raw_ESG!$D$2:$D$76, MATCH(1, (Raw_ESG!$A$2:$A$76="Tata Power")*(Raw_ESG!$B$2:$B$76="2023"),0)+1),"")="",IFERROR(INDEX(Raw_Financials!$E$2:$E$76, MATCH(1, (Raw_Financials!$A$2:$A$76="Tata Power")*(Raw_Financials!$B$2:$B$76="2023"),0)+1),"")=""),"",(IFERROR(INDEX(Raw_ESG!$D$2:$D$76, MATCH(1, (Raw_ESG!$A$2:$A$76="Tata Power")*(Raw_ESG!$B$2:$B$76="2023"),0)+1),""))/(IFERROR(INDEX(Raw_Financials!$E$2:$E$76, MATCH(1, (Raw_Financials!$A$2:$A$76="Tata Power")*(Raw_Financials!$B$2:$B$76="2023"),0)+1),"")))</f>
        <v>5.3695217521328886E-2</v>
      </c>
      <c r="M35" cm="1">
        <f t="array" ref="M35">IF(OR(IFERROR(INDEX(Raw_ESG!$E$2:$E$76, MATCH(1, (Raw_ESG!$A$2:$A$76="Tata Power")*(Raw_ESG!$B$2:$B$76="2023"),0)+1),"")="",IFERROR(INDEX(Raw_ESG!$F$2:$F$76, MATCH(1, (Raw_ESG!$A$2:$A$76="Tata Power")*(Raw_ESG!$B$2:$B$76="2023"),0)+1),"")=""),"",(IFERROR(INDEX(Raw_ESG!$E$2:$E$76, MATCH(1, (Raw_ESG!$A$2:$A$76="Tata Power")*(Raw_ESG!$B$2:$B$76="2023"),0)+1),""))+(IFERROR(INDEX(Raw_ESG!$F$2:$F$76, MATCH(1, (Raw_ESG!$A$2:$A$76="Tata Power")*(Raw_ESG!$B$2:$B$76="2023"),0)+1),"")))</f>
        <v>105652.98000000001</v>
      </c>
      <c r="N35" cm="1">
        <f t="array" ref="N35">IFERROR(INDEX(Raw_ESG!$G$2:$G$76, MATCH(1, (Raw_ESG!$A$2:$A$76="Tata Power")*(Raw_ESG!$B$2:$B$76="2023"),0)+1),"")</f>
        <v>42.3</v>
      </c>
    </row>
    <row r="36" spans="1:14" x14ac:dyDescent="0.35">
      <c r="A36" t="s">
        <v>8</v>
      </c>
      <c r="B36" t="s">
        <v>37</v>
      </c>
      <c r="C36" cm="1">
        <f t="array" ref="C36">IF(OR(IFERROR(INDEX(Raw_Financials!$E$2:$E$76, MATCH(1, (Raw_Financials!$A$2:$A$76="Tata Power")*(Raw_Financials!$B$2:$B$76="2024"),0)+1),"")="",IFERROR(INDEX(Raw_Financials!$D$2:$D$76, MATCH(1, (Raw_Financials!$A$2:$A$76="Tata Power")*(Raw_Financials!$B$2:$B$76="2024"),0)+1),"")=""),"",(IFERROR(INDEX(Raw_Financials!$D$2:$D$76, MATCH(1, (Raw_Financials!$A$2:$A$76="Tata Power")*(Raw_Financials!$B$2:$B$76="2024"),0)+1),""))/(IFERROR(INDEX(Raw_Financials!$E$2:$E$76, MATCH(1, (Raw_Financials!$A$2:$A$76="Tata Power")*(Raw_Financials!$B$2:$B$76="2024"),0)+1),"")))</f>
        <v>6.3085019652436597E-2</v>
      </c>
      <c r="D36" cm="1">
        <f t="array" ref="D36">IF(OR(IFERROR(INDEX(Raw_Financials!$E$2:$E$76, MATCH(1, (Raw_Financials!$A$2:$A$76="Tata Power")*(Raw_Financials!$B$2:$B$76="2024"),0)+1),"")="",IFERROR(INDEX(Raw_Financials!$C$2:$C$76, MATCH(1, (Raw_Financials!$A$2:$A$76="Tata Power")*(Raw_Financials!$B$2:$B$76="2024"),0)+1),"")=""),"",(IFERROR(INDEX(Raw_Financials!$C$2:$C$76, MATCH(1, (Raw_Financials!$A$2:$A$76="Tata Power")*(Raw_Financials!$B$2:$B$76="2024"),0)+1),""))/(IFERROR(INDEX(Raw_Financials!$E$2:$E$76, MATCH(1, (Raw_Financials!$A$2:$A$76="Tata Power")*(Raw_Financials!$B$2:$B$76="2024"),0)+1),"")))</f>
        <v>0.41750036591338796</v>
      </c>
      <c r="E36" cm="1">
        <f t="array" ref="E36">IF(OR(IFERROR(INDEX(Raw_Financials!$G$2:$G$76, MATCH(1, (Raw_Financials!$A$2:$A$76="Tata Power")*(Raw_Financials!$B$2:$B$76="2024"),0)+1),"")="",IFERROR(INDEX(Raw_Financials!$H$2:$H$76, MATCH(1, (Raw_Financials!$A$2:$A$76="Tata Power")*(Raw_Financials!$B$2:$B$76="2024"),0)+1),"")=""),"",(IFERROR(INDEX(Raw_Financials!$G$2:$G$76, MATCH(1, (Raw_Financials!$A$2:$A$76="Tata Power")*(Raw_Financials!$B$2:$B$76="2024"),0)+1),""))-(IFERROR(INDEX(Raw_Financials!$H$2:$H$76, MATCH(1, (Raw_Financials!$A$2:$A$76="Tata Power")*(Raw_Financials!$B$2:$B$76="2024"),0)+1),"")))</f>
        <v>15201.870000000003</v>
      </c>
      <c r="F36" cm="1">
        <f t="array" ref="F36">IF(OR(IFERROR(INDEX(Raw_Financials!$C$2:$C$76, MATCH(1, (Raw_Financials!$A$2:$A$76="Tata Power")*(Raw_Financials!$B$2:$B$76="2024"),0)+1),"")="",IF(OR(IFERROR(INDEX(Raw_Financials!$G$2:$G$76, MATCH(1, (Raw_Financials!$A$2:$A$76="Tata Power")*(Raw_Financials!$B$2:$B$76="2024"),0)+1),"")="",IFERROR(INDEX(Raw_Financials!$H$2:$H$76, MATCH(1, (Raw_Financials!$A$2:$A$76="Tata Power")*(Raw_Financials!$B$2:$B$76="2024"),0)+1),"")=""),"",(IFERROR(INDEX(Raw_Financials!$G$2:$G$76, MATCH(1, (Raw_Financials!$A$2:$A$76="Tata Power")*(Raw_Financials!$B$2:$B$76="2024"),0)+1),""))-(IFERROR(INDEX(Raw_Financials!$H$2:$H$76, MATCH(1, (Raw_Financials!$A$2:$A$76="Tata Power")*(Raw_Financials!$B$2:$B$76="2024"),0)+1),"")))=""),"",(IFERROR(INDEX(Raw_Financials!$C$2:$C$76, MATCH(1, (Raw_Financials!$A$2:$A$76="Tata Power")*(Raw_Financials!$B$2:$B$76="2024"),0)+1),""))/(IF(OR(IFERROR(INDEX(Raw_Financials!$G$2:$G$76, MATCH(1, (Raw_Financials!$A$2:$A$76="Tata Power")*(Raw_Financials!$B$2:$B$76="2024"),0)+1),"")="",IFERROR(INDEX(Raw_Financials!$H$2:$H$76, MATCH(1, (Raw_Financials!$A$2:$A$76="Tata Power")*(Raw_Financials!$B$2:$B$76="2024"),0)+1),"")=""),"",(IFERROR(INDEX(Raw_Financials!$G$2:$G$76, MATCH(1, (Raw_Financials!$A$2:$A$76="Tata Power")*(Raw_Financials!$B$2:$B$76="2024"),0)+1),""))-(IFERROR(INDEX(Raw_Financials!$H$2:$H$76, MATCH(1, (Raw_Financials!$A$2:$A$76="Tata Power")*(Raw_Financials!$B$2:$B$76="2024"),0)+1),"")))))</f>
        <v>3.1860988154746748</v>
      </c>
      <c r="G36" cm="1">
        <f t="array" ref="G36">IF(OR(IFERROR(INDEX(Raw_Financials!$O$2:$O$76, MATCH(1, (Raw_Financials!$A$2:$A$76="Tata Power")*(Raw_Financials!$B$2:$B$76="2024"),0)+1),"")="",IFERROR(INDEX(Raw_Financials!$M$2:$M$76, MATCH(1, (Raw_Financials!$A$2:$A$76="Tata Power")*(Raw_Financials!$B$2:$B$76="2024"),0)+1),"")=""),"",(IFERROR(INDEX(Raw_Financials!$O$2:$O$76, MATCH(1, (Raw_Financials!$A$2:$A$76="Tata Power")*(Raw_Financials!$B$2:$B$76="2024"),0)+1),""))/(IFERROR(INDEX(Raw_Financials!$M$2:$M$76, MATCH(1, (Raw_Financials!$A$2:$A$76="Tata Power")*(Raw_Financials!$B$2:$B$76="2024"),0)+1),"")))</f>
        <v>1.293199830699169</v>
      </c>
      <c r="H36" cm="1">
        <f t="array" ref="H36">IF(OR(IFERROR(INDEX(Raw_Financials!$M$2:$M$76, MATCH(1, (Raw_Financials!$A$2:$A$76="Tata Power")*(Raw_Financials!$B$2:$B$76="2024"),0)+1),"")="",IFERROR(INDEX(Raw_Financials!$L$2:$L$76, MATCH(1, (Raw_Financials!$A$2:$A$76="Tata Power")*(Raw_Financials!$B$2:$B$76="2024"),0)+1),"")=""),"",(IFERROR(INDEX(Raw_Financials!$M$2:$M$76, MATCH(1, (Raw_Financials!$A$2:$A$76="Tata Power")*(Raw_Financials!$B$2:$B$76="2024"),0)+1),""))/(IFERROR(INDEX(Raw_Financials!$L$2:$L$76, MATCH(1, (Raw_Financials!$A$2:$A$76="Tata Power")*(Raw_Financials!$B$2:$B$76="2024"),0)+1),"")))</f>
        <v>4.5540714332996064</v>
      </c>
      <c r="I36" cm="1">
        <f t="array" ref="I36">IF(OR(IFERROR(INDEX(Raw_Financials!$N$2:$N$76, MATCH(1, (Raw_Financials!$A$2:$A$76="Tata Power")*(Raw_Financials!$B$2:$B$76="2024"),0)+1),"")="",IFERROR(INDEX(Raw_Financials!$J$2:$J$76, MATCH(1, (Raw_Financials!$A$2:$A$76="Tata Power")*(Raw_Financials!$B$2:$B$76="2024"),0)+1),"")=""),"",(IFERROR(INDEX(Raw_Financials!$N$2:$N$76, MATCH(1, (Raw_Financials!$A$2:$A$76="Tata Power")*(Raw_Financials!$B$2:$B$76="2024"),0)+1),""))-(IFERROR(INDEX(Raw_Financials!$J$2:$J$76, MATCH(1, (Raw_Financials!$A$2:$A$76="Tata Power")*(Raw_Financials!$B$2:$B$76="2024"),0)+1),"")))</f>
        <v>18774.809999999998</v>
      </c>
      <c r="J36" cm="1">
        <f t="array" ref="J36">IF(OR(IFERROR(INDEX(Raw_Financials!$M$2:$M$76, MATCH(1, (Raw_Financials!$A$2:$A$76="Tata Power")*(Raw_Financials!$B$2:$B$76="2024"),0)+1),"")="",IFERROR(INDEX(Raw_Financials!$C$2:$C$76, MATCH(1, (Raw_Financials!$A$2:$A$76="Tata Power")*(Raw_Financials!$B$2:$B$76="2024"),0)+1),"")=""),"",(IFERROR(INDEX(Raw_Financials!$M$2:$M$76, MATCH(1, (Raw_Financials!$A$2:$A$76="Tata Power")*(Raw_Financials!$B$2:$B$76="2024"),0)+1),""))/(IFERROR(INDEX(Raw_Financials!$C$2:$C$76, MATCH(1, (Raw_Financials!$A$2:$A$76="Tata Power")*(Raw_Financials!$B$2:$B$76="2024"),0)+1),"")))</f>
        <v>0.59658331451072433</v>
      </c>
      <c r="K36" cm="1">
        <f t="array" ref="K36">IF(OR(IFERROR(INDEX(Raw_ESG!$C$2:$C$76, MATCH(1, (Raw_ESG!$A$2:$A$76="Tata Power")*(Raw_ESG!$B$2:$B$76="2024"),0)+1),"")="",IFERROR(INDEX(Raw_Financials!$J$2:$J$76, MATCH(1, (Raw_Financials!$A$2:$A$76="Tata Power")*(Raw_Financials!$B$2:$B$76="2024"),0)+1),"")=""),"",(IFERROR(INDEX(Raw_ESG!$C$2:$C$76, MATCH(1, (Raw_ESG!$A$2:$A$76="Tata Power")*(Raw_ESG!$B$2:$B$76="2024"),0)+1),""))/(IFERROR(INDEX(Raw_Financials!$J$2:$J$76, MATCH(1, (Raw_Financials!$A$2:$A$76="Tata Power")*(Raw_Financials!$B$2:$B$76="2024"),0)+1),"")))</f>
        <v>0.43711267328016074</v>
      </c>
      <c r="L36" cm="1">
        <f t="array" ref="L36">IF(OR(IFERROR(INDEX(Raw_ESG!$D$2:$D$76, MATCH(1, (Raw_ESG!$A$2:$A$76="Tata Power")*(Raw_ESG!$B$2:$B$76="2024"),0)+1),"")="",IFERROR(INDEX(Raw_Financials!$E$2:$E$76, MATCH(1, (Raw_Financials!$A$2:$A$76="Tata Power")*(Raw_Financials!$B$2:$B$76="2024"),0)+1),"")=""),"",(IFERROR(INDEX(Raw_ESG!$D$2:$D$76, MATCH(1, (Raw_ESG!$A$2:$A$76="Tata Power")*(Raw_ESG!$B$2:$B$76="2024"),0)+1),""))/(IFERROR(INDEX(Raw_Financials!$E$2:$E$76, MATCH(1, (Raw_Financials!$A$2:$A$76="Tata Power")*(Raw_Financials!$B$2:$B$76="2024"),0)+1),"")))</f>
        <v>0.1361510704238027</v>
      </c>
      <c r="M36" cm="1">
        <f t="array" ref="M36">IF(OR(IFERROR(INDEX(Raw_ESG!$E$2:$E$76, MATCH(1, (Raw_ESG!$A$2:$A$76="Tata Power")*(Raw_ESG!$B$2:$B$76="2024"),0)+1),"")="",IFERROR(INDEX(Raw_ESG!$F$2:$F$76, MATCH(1, (Raw_ESG!$A$2:$A$76="Tata Power")*(Raw_ESG!$B$2:$B$76="2024"),0)+1),"")=""),"",(IFERROR(INDEX(Raw_ESG!$E$2:$E$76, MATCH(1, (Raw_ESG!$A$2:$A$76="Tata Power")*(Raw_ESG!$B$2:$B$76="2024"),0)+1),""))+(IFERROR(INDEX(Raw_ESG!$F$2:$F$76, MATCH(1, (Raw_ESG!$A$2:$A$76="Tata Power")*(Raw_ESG!$B$2:$B$76="2024"),0)+1),"")))</f>
        <v>171748.76</v>
      </c>
      <c r="N36" cm="1">
        <f t="array" ref="N36">IFERROR(INDEX(Raw_ESG!$G$2:$G$76, MATCH(1, (Raw_ESG!$A$2:$A$76="Tata Power")*(Raw_ESG!$B$2:$B$76="2024"),0)+1),"")</f>
        <v>42.04</v>
      </c>
    </row>
    <row r="37" spans="1:14" x14ac:dyDescent="0.35">
      <c r="A37" t="s">
        <v>9</v>
      </c>
      <c r="B37" t="s">
        <v>33</v>
      </c>
      <c r="C37" cm="1">
        <f t="array" ref="C37">IF(OR(IFERROR(INDEX(Raw_Financials!$E$2:$E$76, MATCH(1, (Raw_Financials!$A$2:$A$76="Adani Green")*(Raw_Financials!$B$2:$B$76="2020"),0)+1),"")="",IFERROR(INDEX(Raw_Financials!$D$2:$D$76, MATCH(1, (Raw_Financials!$A$2:$A$76="Adani Green")*(Raw_Financials!$B$2:$B$76="2020"),0)+1),"")=""),"",(IFERROR(INDEX(Raw_Financials!$D$2:$D$76, MATCH(1, (Raw_Financials!$A$2:$A$76="Adani Green")*(Raw_Financials!$B$2:$B$76="2020"),0)+1),""))/(IFERROR(INDEX(Raw_Financials!$E$2:$E$76, MATCH(1, (Raw_Financials!$A$2:$A$76="Adani Green")*(Raw_Financials!$B$2:$B$76="2020"),0)+1),"")))</f>
        <v>8.0966970372863073E-2</v>
      </c>
      <c r="D37" cm="1">
        <f t="array" ref="D37">IF(OR(IFERROR(INDEX(Raw_Financials!$E$2:$E$76, MATCH(1, (Raw_Financials!$A$2:$A$76="Adani Green")*(Raw_Financials!$B$2:$B$76="2020"),0)+1),"")="",IFERROR(INDEX(Raw_Financials!$C$2:$C$76, MATCH(1, (Raw_Financials!$A$2:$A$76="Adani Green")*(Raw_Financials!$B$2:$B$76="2020"),0)+1),"")=""),"",(IFERROR(INDEX(Raw_Financials!$C$2:$C$76, MATCH(1, (Raw_Financials!$A$2:$A$76="Adani Green")*(Raw_Financials!$B$2:$B$76="2020"),0)+1),""))/(IFERROR(INDEX(Raw_Financials!$E$2:$E$76, MATCH(1, (Raw_Financials!$A$2:$A$76="Adani Green")*(Raw_Financials!$B$2:$B$76="2020"),0)+1),"")))</f>
        <v>0.66518692926996148</v>
      </c>
      <c r="E37" cm="1">
        <f t="array" ref="E37">IF(OR(IFERROR(INDEX(Raw_Financials!$G$2:$G$76, MATCH(1, (Raw_Financials!$A$2:$A$76="Adani Green")*(Raw_Financials!$B$2:$B$76="2020"),0)+1),"")="",IFERROR(INDEX(Raw_Financials!$H$2:$H$76, MATCH(1, (Raw_Financials!$A$2:$A$76="Adani Green")*(Raw_Financials!$B$2:$B$76="2020"),0)+1),"")=""),"",(IFERROR(INDEX(Raw_Financials!$G$2:$G$76, MATCH(1, (Raw_Financials!$A$2:$A$76="Adani Green")*(Raw_Financials!$B$2:$B$76="2020"),0)+1),""))-(IFERROR(INDEX(Raw_Financials!$H$2:$H$76, MATCH(1, (Raw_Financials!$A$2:$A$76="Adani Green")*(Raw_Financials!$B$2:$B$76="2020"),0)+1),"")))</f>
        <v>18980.249999999996</v>
      </c>
      <c r="F37" cm="1">
        <f t="array" ref="F37">IF(OR(IFERROR(INDEX(Raw_Financials!$C$2:$C$76, MATCH(1, (Raw_Financials!$A$2:$A$76="Adani Green")*(Raw_Financials!$B$2:$B$76="2020"),0)+1),"")="",IF(OR(IFERROR(INDEX(Raw_Financials!$G$2:$G$76, MATCH(1, (Raw_Financials!$A$2:$A$76="Adani Green")*(Raw_Financials!$B$2:$B$76="2020"),0)+1),"")="",IFERROR(INDEX(Raw_Financials!$H$2:$H$76, MATCH(1, (Raw_Financials!$A$2:$A$76="Adani Green")*(Raw_Financials!$B$2:$B$76="2020"),0)+1),"")=""),"",(IFERROR(INDEX(Raw_Financials!$G$2:$G$76, MATCH(1, (Raw_Financials!$A$2:$A$76="Adani Green")*(Raw_Financials!$B$2:$B$76="2020"),0)+1),""))-(IFERROR(INDEX(Raw_Financials!$H$2:$H$76, MATCH(1, (Raw_Financials!$A$2:$A$76="Adani Green")*(Raw_Financials!$B$2:$B$76="2020"),0)+1),"")))=""),"",(IFERROR(INDEX(Raw_Financials!$C$2:$C$76, MATCH(1, (Raw_Financials!$A$2:$A$76="Adani Green")*(Raw_Financials!$B$2:$B$76="2020"),0)+1),""))/(IF(OR(IFERROR(INDEX(Raw_Financials!$G$2:$G$76, MATCH(1, (Raw_Financials!$A$2:$A$76="Adani Green")*(Raw_Financials!$B$2:$B$76="2020"),0)+1),"")="",IFERROR(INDEX(Raw_Financials!$H$2:$H$76, MATCH(1, (Raw_Financials!$A$2:$A$76="Adani Green")*(Raw_Financials!$B$2:$B$76="2020"),0)+1),"")=""),"",(IFERROR(INDEX(Raw_Financials!$G$2:$G$76, MATCH(1, (Raw_Financials!$A$2:$A$76="Adani Green")*(Raw_Financials!$B$2:$B$76="2020"),0)+1),""))-(IFERROR(INDEX(Raw_Financials!$H$2:$H$76, MATCH(1, (Raw_Financials!$A$2:$A$76="Adani Green")*(Raw_Financials!$B$2:$B$76="2020"),0)+1),"")))))</f>
        <v>3.8304316328815489</v>
      </c>
      <c r="G37" cm="1">
        <f t="array" ref="G37">IF(OR(IFERROR(INDEX(Raw_Financials!$O$2:$O$76, MATCH(1, (Raw_Financials!$A$2:$A$76="Adani Green")*(Raw_Financials!$B$2:$B$76="2020"),0)+1),"")="",IFERROR(INDEX(Raw_Financials!$M$2:$M$76, MATCH(1, (Raw_Financials!$A$2:$A$76="Adani Green")*(Raw_Financials!$B$2:$B$76="2020"),0)+1),"")=""),"",(IFERROR(INDEX(Raw_Financials!$O$2:$O$76, MATCH(1, (Raw_Financials!$A$2:$A$76="Adani Green")*(Raw_Financials!$B$2:$B$76="2020"),0)+1),""))/(IFERROR(INDEX(Raw_Financials!$M$2:$M$76, MATCH(1, (Raw_Financials!$A$2:$A$76="Adani Green")*(Raw_Financials!$B$2:$B$76="2020"),0)+1),"")))</f>
        <v>2.5777897366451552</v>
      </c>
      <c r="H37" cm="1">
        <f t="array" ref="H37">IF(OR(IFERROR(INDEX(Raw_Financials!$M$2:$M$76, MATCH(1, (Raw_Financials!$A$2:$A$76="Adani Green")*(Raw_Financials!$B$2:$B$76="2020"),0)+1),"")="",IFERROR(INDEX(Raw_Financials!$L$2:$L$76, MATCH(1, (Raw_Financials!$A$2:$A$76="Adani Green")*(Raw_Financials!$B$2:$B$76="2020"),0)+1),"")=""),"",(IFERROR(INDEX(Raw_Financials!$M$2:$M$76, MATCH(1, (Raw_Financials!$A$2:$A$76="Adani Green")*(Raw_Financials!$B$2:$B$76="2020"),0)+1),""))/(IFERROR(INDEX(Raw_Financials!$L$2:$L$76, MATCH(1, (Raw_Financials!$A$2:$A$76="Adani Green")*(Raw_Financials!$B$2:$B$76="2020"),0)+1),"")))</f>
        <v>3.2072595058782474</v>
      </c>
      <c r="I37" cm="1">
        <f t="array" ref="I37">IF(OR(IFERROR(INDEX(Raw_Financials!$N$2:$N$76, MATCH(1, (Raw_Financials!$A$2:$A$76="Adani Green")*(Raw_Financials!$B$2:$B$76="2020"),0)+1),"")="",IFERROR(INDEX(Raw_Financials!$J$2:$J$76, MATCH(1, (Raw_Financials!$A$2:$A$76="Adani Green")*(Raw_Financials!$B$2:$B$76="2020"),0)+1),"")=""),"",(IFERROR(INDEX(Raw_Financials!$N$2:$N$76, MATCH(1, (Raw_Financials!$A$2:$A$76="Adani Green")*(Raw_Financials!$B$2:$B$76="2020"),0)+1),""))-(IFERROR(INDEX(Raw_Financials!$J$2:$J$76, MATCH(1, (Raw_Financials!$A$2:$A$76="Adani Green")*(Raw_Financials!$B$2:$B$76="2020"),0)+1),"")))</f>
        <v>22088.81</v>
      </c>
      <c r="J37" cm="1">
        <f t="array" ref="J37">IF(OR(IFERROR(INDEX(Raw_Financials!$M$2:$M$76, MATCH(1, (Raw_Financials!$A$2:$A$76="Adani Green")*(Raw_Financials!$B$2:$B$76="2020"),0)+1),"")="",IFERROR(INDEX(Raw_Financials!$C$2:$C$76, MATCH(1, (Raw_Financials!$A$2:$A$76="Adani Green")*(Raw_Financials!$B$2:$B$76="2020"),0)+1),"")=""),"",(IFERROR(INDEX(Raw_Financials!$M$2:$M$76, MATCH(1, (Raw_Financials!$A$2:$A$76="Adani Green")*(Raw_Financials!$B$2:$B$76="2020"),0)+1),""))/(IFERROR(INDEX(Raw_Financials!$C$2:$C$76, MATCH(1, (Raw_Financials!$A$2:$A$76="Adani Green")*(Raw_Financials!$B$2:$B$76="2020"),0)+1),"")))</f>
        <v>0.28064036268328962</v>
      </c>
      <c r="K37" cm="1">
        <f t="array" ref="K37">IF(OR(IFERROR(INDEX(Raw_ESG!$C$2:$C$76, MATCH(1, (Raw_ESG!$A$2:$A$76="Adani Green")*(Raw_ESG!$B$2:$B$76="2020"),0)+1),"")="",IFERROR(INDEX(Raw_Financials!$J$2:$J$76, MATCH(1, (Raw_Financials!$A$2:$A$76="Adani Green")*(Raw_Financials!$B$2:$B$76="2020"),0)+1),"")=""),"",(IFERROR(INDEX(Raw_ESG!$C$2:$C$76, MATCH(1, (Raw_ESG!$A$2:$A$76="Adani Green")*(Raw_ESG!$B$2:$B$76="2020"),0)+1),""))/(IFERROR(INDEX(Raw_Financials!$J$2:$J$76, MATCH(1, (Raw_Financials!$A$2:$A$76="Adani Green")*(Raw_Financials!$B$2:$B$76="2020"),0)+1),"")))</f>
        <v>0.34339046734603823</v>
      </c>
      <c r="L37" cm="1">
        <f t="array" ref="L37">IF(OR(IFERROR(INDEX(Raw_ESG!$D$2:$D$76, MATCH(1, (Raw_ESG!$A$2:$A$76="Adani Green")*(Raw_ESG!$B$2:$B$76="2020"),0)+1),"")="",IFERROR(INDEX(Raw_Financials!$E$2:$E$76, MATCH(1, (Raw_Financials!$A$2:$A$76="Adani Green")*(Raw_Financials!$B$2:$B$76="2020"),0)+1),"")=""),"",(IFERROR(INDEX(Raw_ESG!$D$2:$D$76, MATCH(1, (Raw_ESG!$A$2:$A$76="Adani Green")*(Raw_ESG!$B$2:$B$76="2020"),0)+1),""))/(IFERROR(INDEX(Raw_Financials!$E$2:$E$76, MATCH(1, (Raw_Financials!$A$2:$A$76="Adani Green")*(Raw_Financials!$B$2:$B$76="2020"),0)+1),"")))</f>
        <v>0.12099600334576376</v>
      </c>
      <c r="M37" cm="1">
        <f t="array" ref="M37">IF(OR(IFERROR(INDEX(Raw_ESG!$E$2:$E$76, MATCH(1, (Raw_ESG!$A$2:$A$76="Adani Green")*(Raw_ESG!$B$2:$B$76="2020"),0)+1),"")="",IFERROR(INDEX(Raw_ESG!$F$2:$F$76, MATCH(1, (Raw_ESG!$A$2:$A$76="Adani Green")*(Raw_ESG!$B$2:$B$76="2020"),0)+1),"")=""),"",(IFERROR(INDEX(Raw_ESG!$E$2:$E$76, MATCH(1, (Raw_ESG!$A$2:$A$76="Adani Green")*(Raw_ESG!$B$2:$B$76="2020"),0)+1),""))+(IFERROR(INDEX(Raw_ESG!$F$2:$F$76, MATCH(1, (Raw_ESG!$A$2:$A$76="Adani Green")*(Raw_ESG!$B$2:$B$76="2020"),0)+1),"")))</f>
        <v>206224.91</v>
      </c>
      <c r="N37" cm="1">
        <f t="array" ref="N37">IFERROR(INDEX(Raw_ESG!$G$2:$G$76, MATCH(1, (Raw_ESG!$A$2:$A$76="Adani Green")*(Raw_ESG!$B$2:$B$76="2020"),0)+1),"")</f>
        <v>82.77</v>
      </c>
    </row>
    <row r="38" spans="1:14" x14ac:dyDescent="0.35">
      <c r="A38" t="s">
        <v>9</v>
      </c>
      <c r="B38" t="s">
        <v>34</v>
      </c>
      <c r="C38" cm="1">
        <f t="array" ref="C38">IF(OR(IFERROR(INDEX(Raw_Financials!$E$2:$E$76, MATCH(1, (Raw_Financials!$A$2:$A$76="Adani Green")*(Raw_Financials!$B$2:$B$76="2021"),0)+1),"")="",IFERROR(INDEX(Raw_Financials!$D$2:$D$76, MATCH(1, (Raw_Financials!$A$2:$A$76="Adani Green")*(Raw_Financials!$B$2:$B$76="2021"),0)+1),"")=""),"",(IFERROR(INDEX(Raw_Financials!$D$2:$D$76, MATCH(1, (Raw_Financials!$A$2:$A$76="Adani Green")*(Raw_Financials!$B$2:$B$76="2021"),0)+1),""))/(IFERROR(INDEX(Raw_Financials!$E$2:$E$76, MATCH(1, (Raw_Financials!$A$2:$A$76="Adani Green")*(Raw_Financials!$B$2:$B$76="2021"),0)+1),"")))</f>
        <v>6.3947128877144238E-2</v>
      </c>
      <c r="D38" cm="1">
        <f t="array" ref="D38">IF(OR(IFERROR(INDEX(Raw_Financials!$E$2:$E$76, MATCH(1, (Raw_Financials!$A$2:$A$76="Adani Green")*(Raw_Financials!$B$2:$B$76="2021"),0)+1),"")="",IFERROR(INDEX(Raw_Financials!$C$2:$C$76, MATCH(1, (Raw_Financials!$A$2:$A$76="Adani Green")*(Raw_Financials!$B$2:$B$76="2021"),0)+1),"")=""),"",(IFERROR(INDEX(Raw_Financials!$C$2:$C$76, MATCH(1, (Raw_Financials!$A$2:$A$76="Adani Green")*(Raw_Financials!$B$2:$B$76="2021"),0)+1),""))/(IFERROR(INDEX(Raw_Financials!$E$2:$E$76, MATCH(1, (Raw_Financials!$A$2:$A$76="Adani Green")*(Raw_Financials!$B$2:$B$76="2021"),0)+1),"")))</f>
        <v>0.56953631863878551</v>
      </c>
      <c r="E38" cm="1">
        <f t="array" ref="E38">IF(OR(IFERROR(INDEX(Raw_Financials!$G$2:$G$76, MATCH(1, (Raw_Financials!$A$2:$A$76="Adani Green")*(Raw_Financials!$B$2:$B$76="2021"),0)+1),"")="",IFERROR(INDEX(Raw_Financials!$H$2:$H$76, MATCH(1, (Raw_Financials!$A$2:$A$76="Adani Green")*(Raw_Financials!$B$2:$B$76="2021"),0)+1),"")=""),"",(IFERROR(INDEX(Raw_Financials!$G$2:$G$76, MATCH(1, (Raw_Financials!$A$2:$A$76="Adani Green")*(Raw_Financials!$B$2:$B$76="2021"),0)+1),""))-(IFERROR(INDEX(Raw_Financials!$H$2:$H$76, MATCH(1, (Raw_Financials!$A$2:$A$76="Adani Green")*(Raw_Financials!$B$2:$B$76="2021"),0)+1),"")))</f>
        <v>8689.989999999998</v>
      </c>
      <c r="F38" cm="1">
        <f t="array" ref="F38">IF(OR(IFERROR(INDEX(Raw_Financials!$C$2:$C$76, MATCH(1, (Raw_Financials!$A$2:$A$76="Adani Green")*(Raw_Financials!$B$2:$B$76="2021"),0)+1),"")="",IF(OR(IFERROR(INDEX(Raw_Financials!$G$2:$G$76, MATCH(1, (Raw_Financials!$A$2:$A$76="Adani Green")*(Raw_Financials!$B$2:$B$76="2021"),0)+1),"")="",IFERROR(INDEX(Raw_Financials!$H$2:$H$76, MATCH(1, (Raw_Financials!$A$2:$A$76="Adani Green")*(Raw_Financials!$B$2:$B$76="2021"),0)+1),"")=""),"",(IFERROR(INDEX(Raw_Financials!$G$2:$G$76, MATCH(1, (Raw_Financials!$A$2:$A$76="Adani Green")*(Raw_Financials!$B$2:$B$76="2021"),0)+1),""))-(IFERROR(INDEX(Raw_Financials!$H$2:$H$76, MATCH(1, (Raw_Financials!$A$2:$A$76="Adani Green")*(Raw_Financials!$B$2:$B$76="2021"),0)+1),"")))=""),"",(IFERROR(INDEX(Raw_Financials!$C$2:$C$76, MATCH(1, (Raw_Financials!$A$2:$A$76="Adani Green")*(Raw_Financials!$B$2:$B$76="2021"),0)+1),""))/(IF(OR(IFERROR(INDEX(Raw_Financials!$G$2:$G$76, MATCH(1, (Raw_Financials!$A$2:$A$76="Adani Green")*(Raw_Financials!$B$2:$B$76="2021"),0)+1),"")="",IFERROR(INDEX(Raw_Financials!$H$2:$H$76, MATCH(1, (Raw_Financials!$A$2:$A$76="Adani Green")*(Raw_Financials!$B$2:$B$76="2021"),0)+1),"")=""),"",(IFERROR(INDEX(Raw_Financials!$G$2:$G$76, MATCH(1, (Raw_Financials!$A$2:$A$76="Adani Green")*(Raw_Financials!$B$2:$B$76="2021"),0)+1),""))-(IFERROR(INDEX(Raw_Financials!$H$2:$H$76, MATCH(1, (Raw_Financials!$A$2:$A$76="Adani Green")*(Raw_Financials!$B$2:$B$76="2021"),0)+1),"")))))</f>
        <v>5.1984110453521826</v>
      </c>
      <c r="G38" cm="1">
        <f t="array" ref="G38">IF(OR(IFERROR(INDEX(Raw_Financials!$O$2:$O$76, MATCH(1, (Raw_Financials!$A$2:$A$76="Adani Green")*(Raw_Financials!$B$2:$B$76="2021"),0)+1),"")="",IFERROR(INDEX(Raw_Financials!$M$2:$M$76, MATCH(1, (Raw_Financials!$A$2:$A$76="Adani Green")*(Raw_Financials!$B$2:$B$76="2021"),0)+1),"")=""),"",(IFERROR(INDEX(Raw_Financials!$O$2:$O$76, MATCH(1, (Raw_Financials!$A$2:$A$76="Adani Green")*(Raw_Financials!$B$2:$B$76="2021"),0)+1),""))/(IFERROR(INDEX(Raw_Financials!$M$2:$M$76, MATCH(1, (Raw_Financials!$A$2:$A$76="Adani Green")*(Raw_Financials!$B$2:$B$76="2021"),0)+1),"")))</f>
        <v>2.1503347730447491</v>
      </c>
      <c r="H38" cm="1">
        <f t="array" ref="H38">IF(OR(IFERROR(INDEX(Raw_Financials!$M$2:$M$76, MATCH(1, (Raw_Financials!$A$2:$A$76="Adani Green")*(Raw_Financials!$B$2:$B$76="2021"),0)+1),"")="",IFERROR(INDEX(Raw_Financials!$L$2:$L$76, MATCH(1, (Raw_Financials!$A$2:$A$76="Adani Green")*(Raw_Financials!$B$2:$B$76="2021"),0)+1),"")=""),"",(IFERROR(INDEX(Raw_Financials!$M$2:$M$76, MATCH(1, (Raw_Financials!$A$2:$A$76="Adani Green")*(Raw_Financials!$B$2:$B$76="2021"),0)+1),""))/(IFERROR(INDEX(Raw_Financials!$L$2:$L$76, MATCH(1, (Raw_Financials!$A$2:$A$76="Adani Green")*(Raw_Financials!$B$2:$B$76="2021"),0)+1),"")))</f>
        <v>5.125477904696516</v>
      </c>
      <c r="I38" cm="1">
        <f t="array" ref="I38">IF(OR(IFERROR(INDEX(Raw_Financials!$N$2:$N$76, MATCH(1, (Raw_Financials!$A$2:$A$76="Adani Green")*(Raw_Financials!$B$2:$B$76="2021"),0)+1),"")="",IFERROR(INDEX(Raw_Financials!$J$2:$J$76, MATCH(1, (Raw_Financials!$A$2:$A$76="Adani Green")*(Raw_Financials!$B$2:$B$76="2021"),0)+1),"")=""),"",(IFERROR(INDEX(Raw_Financials!$N$2:$N$76, MATCH(1, (Raw_Financials!$A$2:$A$76="Adani Green")*(Raw_Financials!$B$2:$B$76="2021"),0)+1),""))-(IFERROR(INDEX(Raw_Financials!$J$2:$J$76, MATCH(1, (Raw_Financials!$A$2:$A$76="Adani Green")*(Raw_Financials!$B$2:$B$76="2021"),0)+1),"")))</f>
        <v>15942.39</v>
      </c>
      <c r="J38" cm="1">
        <f t="array" ref="J38">IF(OR(IFERROR(INDEX(Raw_Financials!$M$2:$M$76, MATCH(1, (Raw_Financials!$A$2:$A$76="Adani Green")*(Raw_Financials!$B$2:$B$76="2021"),0)+1),"")="",IFERROR(INDEX(Raw_Financials!$C$2:$C$76, MATCH(1, (Raw_Financials!$A$2:$A$76="Adani Green")*(Raw_Financials!$B$2:$B$76="2021"),0)+1),"")=""),"",(IFERROR(INDEX(Raw_Financials!$M$2:$M$76, MATCH(1, (Raw_Financials!$A$2:$A$76="Adani Green")*(Raw_Financials!$B$2:$B$76="2021"),0)+1),""))/(IFERROR(INDEX(Raw_Financials!$C$2:$C$76, MATCH(1, (Raw_Financials!$A$2:$A$76="Adani Green")*(Raw_Financials!$B$2:$B$76="2021"),0)+1),"")))</f>
        <v>0.48254045345412216</v>
      </c>
      <c r="K38" cm="1">
        <f t="array" ref="K38">IF(OR(IFERROR(INDEX(Raw_ESG!$C$2:$C$76, MATCH(1, (Raw_ESG!$A$2:$A$76="Adani Green")*(Raw_ESG!$B$2:$B$76="2021"),0)+1),"")="",IFERROR(INDEX(Raw_Financials!$J$2:$J$76, MATCH(1, (Raw_Financials!$A$2:$A$76="Adani Green")*(Raw_Financials!$B$2:$B$76="2021"),0)+1),"")=""),"",(IFERROR(INDEX(Raw_ESG!$C$2:$C$76, MATCH(1, (Raw_ESG!$A$2:$A$76="Adani Green")*(Raw_ESG!$B$2:$B$76="2021"),0)+1),""))/(IFERROR(INDEX(Raw_Financials!$J$2:$J$76, MATCH(1, (Raw_Financials!$A$2:$A$76="Adani Green")*(Raw_Financials!$B$2:$B$76="2021"),0)+1),"")))</f>
        <v>0.46959399469806135</v>
      </c>
      <c r="L38" cm="1">
        <f t="array" ref="L38">IF(OR(IFERROR(INDEX(Raw_ESG!$D$2:$D$76, MATCH(1, (Raw_ESG!$A$2:$A$76="Adani Green")*(Raw_ESG!$B$2:$B$76="2021"),0)+1),"")="",IFERROR(INDEX(Raw_Financials!$E$2:$E$76, MATCH(1, (Raw_Financials!$A$2:$A$76="Adani Green")*(Raw_Financials!$B$2:$B$76="2021"),0)+1),"")=""),"",(IFERROR(INDEX(Raw_ESG!$D$2:$D$76, MATCH(1, (Raw_ESG!$A$2:$A$76="Adani Green")*(Raw_ESG!$B$2:$B$76="2021"),0)+1),""))/(IFERROR(INDEX(Raw_Financials!$E$2:$E$76, MATCH(1, (Raw_Financials!$A$2:$A$76="Adani Green")*(Raw_Financials!$B$2:$B$76="2021"),0)+1),"")))</f>
        <v>0.36050034418677368</v>
      </c>
      <c r="M38" cm="1">
        <f t="array" ref="M38">IF(OR(IFERROR(INDEX(Raw_ESG!$E$2:$E$76, MATCH(1, (Raw_ESG!$A$2:$A$76="Adani Green")*(Raw_ESG!$B$2:$B$76="2021"),0)+1),"")="",IFERROR(INDEX(Raw_ESG!$F$2:$F$76, MATCH(1, (Raw_ESG!$A$2:$A$76="Adani Green")*(Raw_ESG!$B$2:$B$76="2021"),0)+1),"")=""),"",(IFERROR(INDEX(Raw_ESG!$E$2:$E$76, MATCH(1, (Raw_ESG!$A$2:$A$76="Adani Green")*(Raw_ESG!$B$2:$B$76="2021"),0)+1),""))+(IFERROR(INDEX(Raw_ESG!$F$2:$F$76, MATCH(1, (Raw_ESG!$A$2:$A$76="Adani Green")*(Raw_ESG!$B$2:$B$76="2021"),0)+1),"")))</f>
        <v>137524.28</v>
      </c>
      <c r="N38" cm="1">
        <f t="array" ref="N38">IFERROR(INDEX(Raw_ESG!$G$2:$G$76, MATCH(1, (Raw_ESG!$A$2:$A$76="Adani Green")*(Raw_ESG!$B$2:$B$76="2021"),0)+1),"")</f>
        <v>75.180000000000007</v>
      </c>
    </row>
    <row r="39" spans="1:14" x14ac:dyDescent="0.35">
      <c r="A39" t="s">
        <v>9</v>
      </c>
      <c r="B39" t="s">
        <v>35</v>
      </c>
      <c r="C39" cm="1">
        <f t="array" ref="C39">IF(OR(IFERROR(INDEX(Raw_Financials!$E$2:$E$76, MATCH(1, (Raw_Financials!$A$2:$A$76="Adani Green")*(Raw_Financials!$B$2:$B$76="2022"),0)+1),"")="",IFERROR(INDEX(Raw_Financials!$D$2:$D$76, MATCH(1, (Raw_Financials!$A$2:$A$76="Adani Green")*(Raw_Financials!$B$2:$B$76="2022"),0)+1),"")=""),"",(IFERROR(INDEX(Raw_Financials!$D$2:$D$76, MATCH(1, (Raw_Financials!$A$2:$A$76="Adani Green")*(Raw_Financials!$B$2:$B$76="2022"),0)+1),""))/(IFERROR(INDEX(Raw_Financials!$E$2:$E$76, MATCH(1, (Raw_Financials!$A$2:$A$76="Adani Green")*(Raw_Financials!$B$2:$B$76="2022"),0)+1),"")))</f>
        <v>7.636162675855146E-2</v>
      </c>
      <c r="D39" cm="1">
        <f t="array" ref="D39">IF(OR(IFERROR(INDEX(Raw_Financials!$E$2:$E$76, MATCH(1, (Raw_Financials!$A$2:$A$76="Adani Green")*(Raw_Financials!$B$2:$B$76="2022"),0)+1),"")="",IFERROR(INDEX(Raw_Financials!$C$2:$C$76, MATCH(1, (Raw_Financials!$A$2:$A$76="Adani Green")*(Raw_Financials!$B$2:$B$76="2022"),0)+1),"")=""),"",(IFERROR(INDEX(Raw_Financials!$C$2:$C$76, MATCH(1, (Raw_Financials!$A$2:$A$76="Adani Green")*(Raw_Financials!$B$2:$B$76="2022"),0)+1),""))/(IFERROR(INDEX(Raw_Financials!$E$2:$E$76, MATCH(1, (Raw_Financials!$A$2:$A$76="Adani Green")*(Raw_Financials!$B$2:$B$76="2022"),0)+1),"")))</f>
        <v>0.37699981157248336</v>
      </c>
      <c r="E39" cm="1">
        <f t="array" ref="E39">IF(OR(IFERROR(INDEX(Raw_Financials!$G$2:$G$76, MATCH(1, (Raw_Financials!$A$2:$A$76="Adani Green")*(Raw_Financials!$B$2:$B$76="2022"),0)+1),"")="",IFERROR(INDEX(Raw_Financials!$H$2:$H$76, MATCH(1, (Raw_Financials!$A$2:$A$76="Adani Green")*(Raw_Financials!$B$2:$B$76="2022"),0)+1),"")=""),"",(IFERROR(INDEX(Raw_Financials!$G$2:$G$76, MATCH(1, (Raw_Financials!$A$2:$A$76="Adani Green")*(Raw_Financials!$B$2:$B$76="2022"),0)+1),""))-(IFERROR(INDEX(Raw_Financials!$H$2:$H$76, MATCH(1, (Raw_Financials!$A$2:$A$76="Adani Green")*(Raw_Financials!$B$2:$B$76="2022"),0)+1),"")))</f>
        <v>11008.93</v>
      </c>
      <c r="F39" cm="1">
        <f t="array" ref="F39">IF(OR(IFERROR(INDEX(Raw_Financials!$C$2:$C$76, MATCH(1, (Raw_Financials!$A$2:$A$76="Adani Green")*(Raw_Financials!$B$2:$B$76="2022"),0)+1),"")="",IF(OR(IFERROR(INDEX(Raw_Financials!$G$2:$G$76, MATCH(1, (Raw_Financials!$A$2:$A$76="Adani Green")*(Raw_Financials!$B$2:$B$76="2022"),0)+1),"")="",IFERROR(INDEX(Raw_Financials!$H$2:$H$76, MATCH(1, (Raw_Financials!$A$2:$A$76="Adani Green")*(Raw_Financials!$B$2:$B$76="2022"),0)+1),"")=""),"",(IFERROR(INDEX(Raw_Financials!$G$2:$G$76, MATCH(1, (Raw_Financials!$A$2:$A$76="Adani Green")*(Raw_Financials!$B$2:$B$76="2022"),0)+1),""))-(IFERROR(INDEX(Raw_Financials!$H$2:$H$76, MATCH(1, (Raw_Financials!$A$2:$A$76="Adani Green")*(Raw_Financials!$B$2:$B$76="2022"),0)+1),"")))=""),"",(IFERROR(INDEX(Raw_Financials!$C$2:$C$76, MATCH(1, (Raw_Financials!$A$2:$A$76="Adani Green")*(Raw_Financials!$B$2:$B$76="2022"),0)+1),""))/(IF(OR(IFERROR(INDEX(Raw_Financials!$G$2:$G$76, MATCH(1, (Raw_Financials!$A$2:$A$76="Adani Green")*(Raw_Financials!$B$2:$B$76="2022"),0)+1),"")="",IFERROR(INDEX(Raw_Financials!$H$2:$H$76, MATCH(1, (Raw_Financials!$A$2:$A$76="Adani Green")*(Raw_Financials!$B$2:$B$76="2022"),0)+1),"")=""),"",(IFERROR(INDEX(Raw_Financials!$G$2:$G$76, MATCH(1, (Raw_Financials!$A$2:$A$76="Adani Green")*(Raw_Financials!$B$2:$B$76="2022"),0)+1),""))-(IFERROR(INDEX(Raw_Financials!$H$2:$H$76, MATCH(1, (Raw_Financials!$A$2:$A$76="Adani Green")*(Raw_Financials!$B$2:$B$76="2022"),0)+1),"")))))</f>
        <v>4.6053040577058804</v>
      </c>
      <c r="G39" cm="1">
        <f t="array" ref="G39">IF(OR(IFERROR(INDEX(Raw_Financials!$O$2:$O$76, MATCH(1, (Raw_Financials!$A$2:$A$76="Adani Green")*(Raw_Financials!$B$2:$B$76="2022"),0)+1),"")="",IFERROR(INDEX(Raw_Financials!$M$2:$M$76, MATCH(1, (Raw_Financials!$A$2:$A$76="Adani Green")*(Raw_Financials!$B$2:$B$76="2022"),0)+1),"")=""),"",(IFERROR(INDEX(Raw_Financials!$O$2:$O$76, MATCH(1, (Raw_Financials!$A$2:$A$76="Adani Green")*(Raw_Financials!$B$2:$B$76="2022"),0)+1),""))/(IFERROR(INDEX(Raw_Financials!$M$2:$M$76, MATCH(1, (Raw_Financials!$A$2:$A$76="Adani Green")*(Raw_Financials!$B$2:$B$76="2022"),0)+1),"")))</f>
        <v>2.5872712524605479</v>
      </c>
      <c r="H39" cm="1">
        <f t="array" ref="H39">IF(OR(IFERROR(INDEX(Raw_Financials!$M$2:$M$76, MATCH(1, (Raw_Financials!$A$2:$A$76="Adani Green")*(Raw_Financials!$B$2:$B$76="2022"),0)+1),"")="",IFERROR(INDEX(Raw_Financials!$L$2:$L$76, MATCH(1, (Raw_Financials!$A$2:$A$76="Adani Green")*(Raw_Financials!$B$2:$B$76="2022"),0)+1),"")=""),"",(IFERROR(INDEX(Raw_Financials!$M$2:$M$76, MATCH(1, (Raw_Financials!$A$2:$A$76="Adani Green")*(Raw_Financials!$B$2:$B$76="2022"),0)+1),""))/(IFERROR(INDEX(Raw_Financials!$L$2:$L$76, MATCH(1, (Raw_Financials!$A$2:$A$76="Adani Green")*(Raw_Financials!$B$2:$B$76="2022"),0)+1),"")))</f>
        <v>5.0597749537088328</v>
      </c>
      <c r="I39" cm="1">
        <f t="array" ref="I39">IF(OR(IFERROR(INDEX(Raw_Financials!$N$2:$N$76, MATCH(1, (Raw_Financials!$A$2:$A$76="Adani Green")*(Raw_Financials!$B$2:$B$76="2022"),0)+1),"")="",IFERROR(INDEX(Raw_Financials!$J$2:$J$76, MATCH(1, (Raw_Financials!$A$2:$A$76="Adani Green")*(Raw_Financials!$B$2:$B$76="2022"),0)+1),"")=""),"",(IFERROR(INDEX(Raw_Financials!$N$2:$N$76, MATCH(1, (Raw_Financials!$A$2:$A$76="Adani Green")*(Raw_Financials!$B$2:$B$76="2022"),0)+1),""))-(IFERROR(INDEX(Raw_Financials!$J$2:$J$76, MATCH(1, (Raw_Financials!$A$2:$A$76="Adani Green")*(Raw_Financials!$B$2:$B$76="2022"),0)+1),"")))</f>
        <v>22734.93</v>
      </c>
      <c r="J39" cm="1">
        <f t="array" ref="J39">IF(OR(IFERROR(INDEX(Raw_Financials!$M$2:$M$76, MATCH(1, (Raw_Financials!$A$2:$A$76="Adani Green")*(Raw_Financials!$B$2:$B$76="2022"),0)+1),"")="",IFERROR(INDEX(Raw_Financials!$C$2:$C$76, MATCH(1, (Raw_Financials!$A$2:$A$76="Adani Green")*(Raw_Financials!$B$2:$B$76="2022"),0)+1),"")=""),"",(IFERROR(INDEX(Raw_Financials!$M$2:$M$76, MATCH(1, (Raw_Financials!$A$2:$A$76="Adani Green")*(Raw_Financials!$B$2:$B$76="2022"),0)+1),""))/(IFERROR(INDEX(Raw_Financials!$C$2:$C$76, MATCH(1, (Raw_Financials!$A$2:$A$76="Adani Green")*(Raw_Financials!$B$2:$B$76="2022"),0)+1),"")))</f>
        <v>0.37836135170643798</v>
      </c>
      <c r="K39" cm="1">
        <f t="array" ref="K39">IF(OR(IFERROR(INDEX(Raw_ESG!$C$2:$C$76, MATCH(1, (Raw_ESG!$A$2:$A$76="Adani Green")*(Raw_ESG!$B$2:$B$76="2022"),0)+1),"")="",IFERROR(INDEX(Raw_Financials!$J$2:$J$76, MATCH(1, (Raw_Financials!$A$2:$A$76="Adani Green")*(Raw_Financials!$B$2:$B$76="2022"),0)+1),"")=""),"",(IFERROR(INDEX(Raw_ESG!$C$2:$C$76, MATCH(1, (Raw_ESG!$A$2:$A$76="Adani Green")*(Raw_ESG!$B$2:$B$76="2022"),0)+1),""))/(IFERROR(INDEX(Raw_Financials!$J$2:$J$76, MATCH(1, (Raw_Financials!$A$2:$A$76="Adani Green")*(Raw_Financials!$B$2:$B$76="2022"),0)+1),"")))</f>
        <v>0.41505816675872786</v>
      </c>
      <c r="L39" cm="1">
        <f t="array" ref="L39">IF(OR(IFERROR(INDEX(Raw_ESG!$D$2:$D$76, MATCH(1, (Raw_ESG!$A$2:$A$76="Adani Green")*(Raw_ESG!$B$2:$B$76="2022"),0)+1),"")="",IFERROR(INDEX(Raw_Financials!$E$2:$E$76, MATCH(1, (Raw_Financials!$A$2:$A$76="Adani Green")*(Raw_Financials!$B$2:$B$76="2022"),0)+1),"")=""),"",(IFERROR(INDEX(Raw_ESG!$D$2:$D$76, MATCH(1, (Raw_ESG!$A$2:$A$76="Adani Green")*(Raw_ESG!$B$2:$B$76="2022"),0)+1),""))/(IFERROR(INDEX(Raw_Financials!$E$2:$E$76, MATCH(1, (Raw_Financials!$A$2:$A$76="Adani Green")*(Raw_Financials!$B$2:$B$76="2022"),0)+1),"")))</f>
        <v>0.19454293388633165</v>
      </c>
      <c r="M39" cm="1">
        <f t="array" ref="M39">IF(OR(IFERROR(INDEX(Raw_ESG!$E$2:$E$76, MATCH(1, (Raw_ESG!$A$2:$A$76="Adani Green")*(Raw_ESG!$B$2:$B$76="2022"),0)+1),"")="",IFERROR(INDEX(Raw_ESG!$F$2:$F$76, MATCH(1, (Raw_ESG!$A$2:$A$76="Adani Green")*(Raw_ESG!$B$2:$B$76="2022"),0)+1),"")=""),"",(IFERROR(INDEX(Raw_ESG!$E$2:$E$76, MATCH(1, (Raw_ESG!$A$2:$A$76="Adani Green")*(Raw_ESG!$B$2:$B$76="2022"),0)+1),""))+(IFERROR(INDEX(Raw_ESG!$F$2:$F$76, MATCH(1, (Raw_ESG!$A$2:$A$76="Adani Green")*(Raw_ESG!$B$2:$B$76="2022"),0)+1),"")))</f>
        <v>153881.54</v>
      </c>
      <c r="N39" cm="1">
        <f t="array" ref="N39">IFERROR(INDEX(Raw_ESG!$G$2:$G$76, MATCH(1, (Raw_ESG!$A$2:$A$76="Adani Green")*(Raw_ESG!$B$2:$B$76="2022"),0)+1),"")</f>
        <v>63.71</v>
      </c>
    </row>
    <row r="40" spans="1:14" x14ac:dyDescent="0.35">
      <c r="A40" t="s">
        <v>9</v>
      </c>
      <c r="B40" t="s">
        <v>36</v>
      </c>
      <c r="C40" cm="1">
        <f t="array" ref="C40">IF(OR(IFERROR(INDEX(Raw_Financials!$E$2:$E$76, MATCH(1, (Raw_Financials!$A$2:$A$76="Adani Green")*(Raw_Financials!$B$2:$B$76="2023"),0)+1),"")="",IFERROR(INDEX(Raw_Financials!$D$2:$D$76, MATCH(1, (Raw_Financials!$A$2:$A$76="Adani Green")*(Raw_Financials!$B$2:$B$76="2023"),0)+1),"")=""),"",(IFERROR(INDEX(Raw_Financials!$D$2:$D$76, MATCH(1, (Raw_Financials!$A$2:$A$76="Adani Green")*(Raw_Financials!$B$2:$B$76="2023"),0)+1),""))/(IFERROR(INDEX(Raw_Financials!$E$2:$E$76, MATCH(1, (Raw_Financials!$A$2:$A$76="Adani Green")*(Raw_Financials!$B$2:$B$76="2023"),0)+1),"")))</f>
        <v>4.8837212753768705E-2</v>
      </c>
      <c r="D40" cm="1">
        <f t="array" ref="D40">IF(OR(IFERROR(INDEX(Raw_Financials!$E$2:$E$76, MATCH(1, (Raw_Financials!$A$2:$A$76="Adani Green")*(Raw_Financials!$B$2:$B$76="2023"),0)+1),"")="",IFERROR(INDEX(Raw_Financials!$C$2:$C$76, MATCH(1, (Raw_Financials!$A$2:$A$76="Adani Green")*(Raw_Financials!$B$2:$B$76="2023"),0)+1),"")=""),"",(IFERROR(INDEX(Raw_Financials!$C$2:$C$76, MATCH(1, (Raw_Financials!$A$2:$A$76="Adani Green")*(Raw_Financials!$B$2:$B$76="2023"),0)+1),""))/(IFERROR(INDEX(Raw_Financials!$E$2:$E$76, MATCH(1, (Raw_Financials!$A$2:$A$76="Adani Green")*(Raw_Financials!$B$2:$B$76="2023"),0)+1),"")))</f>
        <v>0.39230903290888897</v>
      </c>
      <c r="E40" cm="1">
        <f t="array" ref="E40">IF(OR(IFERROR(INDEX(Raw_Financials!$G$2:$G$76, MATCH(1, (Raw_Financials!$A$2:$A$76="Adani Green")*(Raw_Financials!$B$2:$B$76="2023"),0)+1),"")="",IFERROR(INDEX(Raw_Financials!$H$2:$H$76, MATCH(1, (Raw_Financials!$A$2:$A$76="Adani Green")*(Raw_Financials!$B$2:$B$76="2023"),0)+1),"")=""),"",(IFERROR(INDEX(Raw_Financials!$G$2:$G$76, MATCH(1, (Raw_Financials!$A$2:$A$76="Adani Green")*(Raw_Financials!$B$2:$B$76="2023"),0)+1),""))-(IFERROR(INDEX(Raw_Financials!$H$2:$H$76, MATCH(1, (Raw_Financials!$A$2:$A$76="Adani Green")*(Raw_Financials!$B$2:$B$76="2023"),0)+1),"")))</f>
        <v>6911.2900000000009</v>
      </c>
      <c r="F40" cm="1">
        <f t="array" ref="F40">IF(OR(IFERROR(INDEX(Raw_Financials!$C$2:$C$76, MATCH(1, (Raw_Financials!$A$2:$A$76="Adani Green")*(Raw_Financials!$B$2:$B$76="2023"),0)+1),"")="",IF(OR(IFERROR(INDEX(Raw_Financials!$G$2:$G$76, MATCH(1, (Raw_Financials!$A$2:$A$76="Adani Green")*(Raw_Financials!$B$2:$B$76="2023"),0)+1),"")="",IFERROR(INDEX(Raw_Financials!$H$2:$H$76, MATCH(1, (Raw_Financials!$A$2:$A$76="Adani Green")*(Raw_Financials!$B$2:$B$76="2023"),0)+1),"")=""),"",(IFERROR(INDEX(Raw_Financials!$G$2:$G$76, MATCH(1, (Raw_Financials!$A$2:$A$76="Adani Green")*(Raw_Financials!$B$2:$B$76="2023"),0)+1),""))-(IFERROR(INDEX(Raw_Financials!$H$2:$H$76, MATCH(1, (Raw_Financials!$A$2:$A$76="Adani Green")*(Raw_Financials!$B$2:$B$76="2023"),0)+1),"")))=""),"",(IFERROR(INDEX(Raw_Financials!$C$2:$C$76, MATCH(1, (Raw_Financials!$A$2:$A$76="Adani Green")*(Raw_Financials!$B$2:$B$76="2023"),0)+1),""))/(IF(OR(IFERROR(INDEX(Raw_Financials!$G$2:$G$76, MATCH(1, (Raw_Financials!$A$2:$A$76="Adani Green")*(Raw_Financials!$B$2:$B$76="2023"),0)+1),"")="",IFERROR(INDEX(Raw_Financials!$H$2:$H$76, MATCH(1, (Raw_Financials!$A$2:$A$76="Adani Green")*(Raw_Financials!$B$2:$B$76="2023"),0)+1),"")=""),"",(IFERROR(INDEX(Raw_Financials!$G$2:$G$76, MATCH(1, (Raw_Financials!$A$2:$A$76="Adani Green")*(Raw_Financials!$B$2:$B$76="2023"),0)+1),""))-(IFERROR(INDEX(Raw_Financials!$H$2:$H$76, MATCH(1, (Raw_Financials!$A$2:$A$76="Adani Green")*(Raw_Financials!$B$2:$B$76="2023"),0)+1),"")))))</f>
        <v>5.3546125253028007</v>
      </c>
      <c r="G40" cm="1">
        <f t="array" ref="G40">IF(OR(IFERROR(INDEX(Raw_Financials!$O$2:$O$76, MATCH(1, (Raw_Financials!$A$2:$A$76="Adani Green")*(Raw_Financials!$B$2:$B$76="2023"),0)+1),"")="",IFERROR(INDEX(Raw_Financials!$M$2:$M$76, MATCH(1, (Raw_Financials!$A$2:$A$76="Adani Green")*(Raw_Financials!$B$2:$B$76="2023"),0)+1),"")=""),"",(IFERROR(INDEX(Raw_Financials!$O$2:$O$76, MATCH(1, (Raw_Financials!$A$2:$A$76="Adani Green")*(Raw_Financials!$B$2:$B$76="2023"),0)+1),""))/(IFERROR(INDEX(Raw_Financials!$M$2:$M$76, MATCH(1, (Raw_Financials!$A$2:$A$76="Adani Green")*(Raw_Financials!$B$2:$B$76="2023"),0)+1),"")))</f>
        <v>1.7257350521555523</v>
      </c>
      <c r="H40" cm="1">
        <f t="array" ref="H40">IF(OR(IFERROR(INDEX(Raw_Financials!$M$2:$M$76, MATCH(1, (Raw_Financials!$A$2:$A$76="Adani Green")*(Raw_Financials!$B$2:$B$76="2023"),0)+1),"")="",IFERROR(INDEX(Raw_Financials!$L$2:$L$76, MATCH(1, (Raw_Financials!$A$2:$A$76="Adani Green")*(Raw_Financials!$B$2:$B$76="2023"),0)+1),"")=""),"",(IFERROR(INDEX(Raw_Financials!$M$2:$M$76, MATCH(1, (Raw_Financials!$A$2:$A$76="Adani Green")*(Raw_Financials!$B$2:$B$76="2023"),0)+1),""))/(IFERROR(INDEX(Raw_Financials!$L$2:$L$76, MATCH(1, (Raw_Financials!$A$2:$A$76="Adani Green")*(Raw_Financials!$B$2:$B$76="2023"),0)+1),"")))</f>
        <v>2.7891462412334587</v>
      </c>
      <c r="I40" cm="1">
        <f t="array" ref="I40">IF(OR(IFERROR(INDEX(Raw_Financials!$N$2:$N$76, MATCH(1, (Raw_Financials!$A$2:$A$76="Adani Green")*(Raw_Financials!$B$2:$B$76="2023"),0)+1),"")="",IFERROR(INDEX(Raw_Financials!$J$2:$J$76, MATCH(1, (Raw_Financials!$A$2:$A$76="Adani Green")*(Raw_Financials!$B$2:$B$76="2023"),0)+1),"")=""),"",(IFERROR(INDEX(Raw_Financials!$N$2:$N$76, MATCH(1, (Raw_Financials!$A$2:$A$76="Adani Green")*(Raw_Financials!$B$2:$B$76="2023"),0)+1),""))-(IFERROR(INDEX(Raw_Financials!$J$2:$J$76, MATCH(1, (Raw_Financials!$A$2:$A$76="Adani Green")*(Raw_Financials!$B$2:$B$76="2023"),0)+1),"")))</f>
        <v>22370.14</v>
      </c>
      <c r="J40" cm="1">
        <f t="array" ref="J40">IF(OR(IFERROR(INDEX(Raw_Financials!$M$2:$M$76, MATCH(1, (Raw_Financials!$A$2:$A$76="Adani Green")*(Raw_Financials!$B$2:$B$76="2023"),0)+1),"")="",IFERROR(INDEX(Raw_Financials!$C$2:$C$76, MATCH(1, (Raw_Financials!$A$2:$A$76="Adani Green")*(Raw_Financials!$B$2:$B$76="2023"),0)+1),"")=""),"",(IFERROR(INDEX(Raw_Financials!$M$2:$M$76, MATCH(1, (Raw_Financials!$A$2:$A$76="Adani Green")*(Raw_Financials!$B$2:$B$76="2023"),0)+1),""))/(IFERROR(INDEX(Raw_Financials!$C$2:$C$76, MATCH(1, (Raw_Financials!$A$2:$A$76="Adani Green")*(Raw_Financials!$B$2:$B$76="2023"),0)+1),"")))</f>
        <v>0.52636211037395886</v>
      </c>
      <c r="K40" cm="1">
        <f t="array" ref="K40">IF(OR(IFERROR(INDEX(Raw_ESG!$C$2:$C$76, MATCH(1, (Raw_ESG!$A$2:$A$76="Adani Green")*(Raw_ESG!$B$2:$B$76="2023"),0)+1),"")="",IFERROR(INDEX(Raw_Financials!$J$2:$J$76, MATCH(1, (Raw_Financials!$A$2:$A$76="Adani Green")*(Raw_Financials!$B$2:$B$76="2023"),0)+1),"")=""),"",(IFERROR(INDEX(Raw_ESG!$C$2:$C$76, MATCH(1, (Raw_ESG!$A$2:$A$76="Adani Green")*(Raw_ESG!$B$2:$B$76="2023"),0)+1),""))/(IFERROR(INDEX(Raw_Financials!$J$2:$J$76, MATCH(1, (Raw_Financials!$A$2:$A$76="Adani Green")*(Raw_Financials!$B$2:$B$76="2023"),0)+1),"")))</f>
        <v>0.68938229600516221</v>
      </c>
      <c r="L40" cm="1">
        <f t="array" ref="L40">IF(OR(IFERROR(INDEX(Raw_ESG!$D$2:$D$76, MATCH(1, (Raw_ESG!$A$2:$A$76="Adani Green")*(Raw_ESG!$B$2:$B$76="2023"),0)+1),"")="",IFERROR(INDEX(Raw_Financials!$E$2:$E$76, MATCH(1, (Raw_Financials!$A$2:$A$76="Adani Green")*(Raw_Financials!$B$2:$B$76="2023"),0)+1),"")=""),"",(IFERROR(INDEX(Raw_ESG!$D$2:$D$76, MATCH(1, (Raw_ESG!$A$2:$A$76="Adani Green")*(Raw_ESG!$B$2:$B$76="2023"),0)+1),""))/(IFERROR(INDEX(Raw_Financials!$E$2:$E$76, MATCH(1, (Raw_Financials!$A$2:$A$76="Adani Green")*(Raw_Financials!$B$2:$B$76="2023"),0)+1),"")))</f>
        <v>0.24030116622192521</v>
      </c>
      <c r="M40" cm="1">
        <f t="array" ref="M40">IF(OR(IFERROR(INDEX(Raw_ESG!$E$2:$E$76, MATCH(1, (Raw_ESG!$A$2:$A$76="Adani Green")*(Raw_ESG!$B$2:$B$76="2023"),0)+1),"")="",IFERROR(INDEX(Raw_ESG!$F$2:$F$76, MATCH(1, (Raw_ESG!$A$2:$A$76="Adani Green")*(Raw_ESG!$B$2:$B$76="2023"),0)+1),"")=""),"",(IFERROR(INDEX(Raw_ESG!$E$2:$E$76, MATCH(1, (Raw_ESG!$A$2:$A$76="Adani Green")*(Raw_ESG!$B$2:$B$76="2023"),0)+1),""))+(IFERROR(INDEX(Raw_ESG!$F$2:$F$76, MATCH(1, (Raw_ESG!$A$2:$A$76="Adani Green")*(Raw_ESG!$B$2:$B$76="2023"),0)+1),"")))</f>
        <v>143053.88</v>
      </c>
      <c r="N40" cm="1">
        <f t="array" ref="N40">IFERROR(INDEX(Raw_ESG!$G$2:$G$76, MATCH(1, (Raw_ESG!$A$2:$A$76="Adani Green")*(Raw_ESG!$B$2:$B$76="2023"),0)+1),"")</f>
        <v>44.89</v>
      </c>
    </row>
    <row r="41" spans="1:14" x14ac:dyDescent="0.35">
      <c r="A41" t="s">
        <v>9</v>
      </c>
      <c r="B41" t="s">
        <v>37</v>
      </c>
      <c r="C41" cm="1">
        <f t="array" ref="C41">IF(OR(IFERROR(INDEX(Raw_Financials!$E$2:$E$76, MATCH(1, (Raw_Financials!$A$2:$A$76="Adani Green")*(Raw_Financials!$B$2:$B$76="2024"),0)+1),"")="",IFERROR(INDEX(Raw_Financials!$D$2:$D$76, MATCH(1, (Raw_Financials!$A$2:$A$76="Adani Green")*(Raw_Financials!$B$2:$B$76="2024"),0)+1),"")=""),"",(IFERROR(INDEX(Raw_Financials!$D$2:$D$76, MATCH(1, (Raw_Financials!$A$2:$A$76="Adani Green")*(Raw_Financials!$B$2:$B$76="2024"),0)+1),""))/(IFERROR(INDEX(Raw_Financials!$E$2:$E$76, MATCH(1, (Raw_Financials!$A$2:$A$76="Adani Green")*(Raw_Financials!$B$2:$B$76="2024"),0)+1),"")))</f>
        <v>6.133553622066109E-2</v>
      </c>
      <c r="D41" cm="1">
        <f t="array" ref="D41">IF(OR(IFERROR(INDEX(Raw_Financials!$E$2:$E$76, MATCH(1, (Raw_Financials!$A$2:$A$76="Adani Green")*(Raw_Financials!$B$2:$B$76="2024"),0)+1),"")="",IFERROR(INDEX(Raw_Financials!$C$2:$C$76, MATCH(1, (Raw_Financials!$A$2:$A$76="Adani Green")*(Raw_Financials!$B$2:$B$76="2024"),0)+1),"")=""),"",(IFERROR(INDEX(Raw_Financials!$C$2:$C$76, MATCH(1, (Raw_Financials!$A$2:$A$76="Adani Green")*(Raw_Financials!$B$2:$B$76="2024"),0)+1),""))/(IFERROR(INDEX(Raw_Financials!$E$2:$E$76, MATCH(1, (Raw_Financials!$A$2:$A$76="Adani Green")*(Raw_Financials!$B$2:$B$76="2024"),0)+1),"")))</f>
        <v>0.32935729107880851</v>
      </c>
      <c r="E41" cm="1">
        <f t="array" ref="E41">IF(OR(IFERROR(INDEX(Raw_Financials!$G$2:$G$76, MATCH(1, (Raw_Financials!$A$2:$A$76="Adani Green")*(Raw_Financials!$B$2:$B$76="2024"),0)+1),"")="",IFERROR(INDEX(Raw_Financials!$H$2:$H$76, MATCH(1, (Raw_Financials!$A$2:$A$76="Adani Green")*(Raw_Financials!$B$2:$B$76="2024"),0)+1),"")=""),"",(IFERROR(INDEX(Raw_Financials!$G$2:$G$76, MATCH(1, (Raw_Financials!$A$2:$A$76="Adani Green")*(Raw_Financials!$B$2:$B$76="2024"),0)+1),""))-(IFERROR(INDEX(Raw_Financials!$H$2:$H$76, MATCH(1, (Raw_Financials!$A$2:$A$76="Adani Green")*(Raw_Financials!$B$2:$B$76="2024"),0)+1),"")))</f>
        <v>-3997.9300000000003</v>
      </c>
      <c r="F41" cm="1">
        <f t="array" ref="F41">IF(OR(IFERROR(INDEX(Raw_Financials!$C$2:$C$76, MATCH(1, (Raw_Financials!$A$2:$A$76="Adani Green")*(Raw_Financials!$B$2:$B$76="2024"),0)+1),"")="",IF(OR(IFERROR(INDEX(Raw_Financials!$G$2:$G$76, MATCH(1, (Raw_Financials!$A$2:$A$76="Adani Green")*(Raw_Financials!$B$2:$B$76="2024"),0)+1),"")="",IFERROR(INDEX(Raw_Financials!$H$2:$H$76, MATCH(1, (Raw_Financials!$A$2:$A$76="Adani Green")*(Raw_Financials!$B$2:$B$76="2024"),0)+1),"")=""),"",(IFERROR(INDEX(Raw_Financials!$G$2:$G$76, MATCH(1, (Raw_Financials!$A$2:$A$76="Adani Green")*(Raw_Financials!$B$2:$B$76="2024"),0)+1),""))-(IFERROR(INDEX(Raw_Financials!$H$2:$H$76, MATCH(1, (Raw_Financials!$A$2:$A$76="Adani Green")*(Raw_Financials!$B$2:$B$76="2024"),0)+1),"")))=""),"",(IFERROR(INDEX(Raw_Financials!$C$2:$C$76, MATCH(1, (Raw_Financials!$A$2:$A$76="Adani Green")*(Raw_Financials!$B$2:$B$76="2024"),0)+1),""))/(IF(OR(IFERROR(INDEX(Raw_Financials!$G$2:$G$76, MATCH(1, (Raw_Financials!$A$2:$A$76="Adani Green")*(Raw_Financials!$B$2:$B$76="2024"),0)+1),"")="",IFERROR(INDEX(Raw_Financials!$H$2:$H$76, MATCH(1, (Raw_Financials!$A$2:$A$76="Adani Green")*(Raw_Financials!$B$2:$B$76="2024"),0)+1),"")=""),"",(IFERROR(INDEX(Raw_Financials!$G$2:$G$76, MATCH(1, (Raw_Financials!$A$2:$A$76="Adani Green")*(Raw_Financials!$B$2:$B$76="2024"),0)+1),""))-(IFERROR(INDEX(Raw_Financials!$H$2:$H$76, MATCH(1, (Raw_Financials!$A$2:$A$76="Adani Green")*(Raw_Financials!$B$2:$B$76="2024"),0)+1),"")))))</f>
        <v>-8.3660169137528673</v>
      </c>
      <c r="G41" cm="1">
        <f t="array" ref="G41">IF(OR(IFERROR(INDEX(Raw_Financials!$O$2:$O$76, MATCH(1, (Raw_Financials!$A$2:$A$76="Adani Green")*(Raw_Financials!$B$2:$B$76="2024"),0)+1),"")="",IFERROR(INDEX(Raw_Financials!$M$2:$M$76, MATCH(1, (Raw_Financials!$A$2:$A$76="Adani Green")*(Raw_Financials!$B$2:$B$76="2024"),0)+1),"")=""),"",(IFERROR(INDEX(Raw_Financials!$O$2:$O$76, MATCH(1, (Raw_Financials!$A$2:$A$76="Adani Green")*(Raw_Financials!$B$2:$B$76="2024"),0)+1),""))/(IFERROR(INDEX(Raw_Financials!$M$2:$M$76, MATCH(1, (Raw_Financials!$A$2:$A$76="Adani Green")*(Raw_Financials!$B$2:$B$76="2024"),0)+1),"")))</f>
        <v>5.2284225086777223</v>
      </c>
      <c r="H41" cm="1">
        <f t="array" ref="H41">IF(OR(IFERROR(INDEX(Raw_Financials!$M$2:$M$76, MATCH(1, (Raw_Financials!$A$2:$A$76="Adani Green")*(Raw_Financials!$B$2:$B$76="2024"),0)+1),"")="",IFERROR(INDEX(Raw_Financials!$L$2:$L$76, MATCH(1, (Raw_Financials!$A$2:$A$76="Adani Green")*(Raw_Financials!$B$2:$B$76="2024"),0)+1),"")=""),"",(IFERROR(INDEX(Raw_Financials!$M$2:$M$76, MATCH(1, (Raw_Financials!$A$2:$A$76="Adani Green")*(Raw_Financials!$B$2:$B$76="2024"),0)+1),""))/(IFERROR(INDEX(Raw_Financials!$L$2:$L$76, MATCH(1, (Raw_Financials!$A$2:$A$76="Adani Green")*(Raw_Financials!$B$2:$B$76="2024"),0)+1),"")))</f>
        <v>1.8122134352155672</v>
      </c>
      <c r="I41" cm="1">
        <f t="array" ref="I41">IF(OR(IFERROR(INDEX(Raw_Financials!$N$2:$N$76, MATCH(1, (Raw_Financials!$A$2:$A$76="Adani Green")*(Raw_Financials!$B$2:$B$76="2024"),0)+1),"")="",IFERROR(INDEX(Raw_Financials!$J$2:$J$76, MATCH(1, (Raw_Financials!$A$2:$A$76="Adani Green")*(Raw_Financials!$B$2:$B$76="2024"),0)+1),"")=""),"",(IFERROR(INDEX(Raw_Financials!$N$2:$N$76, MATCH(1, (Raw_Financials!$A$2:$A$76="Adani Green")*(Raw_Financials!$B$2:$B$76="2024"),0)+1),""))-(IFERROR(INDEX(Raw_Financials!$J$2:$J$76, MATCH(1, (Raw_Financials!$A$2:$A$76="Adani Green")*(Raw_Financials!$B$2:$B$76="2024"),0)+1),"")))</f>
        <v>23842.559999999998</v>
      </c>
      <c r="J41" cm="1">
        <f t="array" ref="J41">IF(OR(IFERROR(INDEX(Raw_Financials!$M$2:$M$76, MATCH(1, (Raw_Financials!$A$2:$A$76="Adani Green")*(Raw_Financials!$B$2:$B$76="2024"),0)+1),"")="",IFERROR(INDEX(Raw_Financials!$C$2:$C$76, MATCH(1, (Raw_Financials!$A$2:$A$76="Adani Green")*(Raw_Financials!$B$2:$B$76="2024"),0)+1),"")=""),"",(IFERROR(INDEX(Raw_Financials!$M$2:$M$76, MATCH(1, (Raw_Financials!$A$2:$A$76="Adani Green")*(Raw_Financials!$B$2:$B$76="2024"),0)+1),""))/(IFERROR(INDEX(Raw_Financials!$C$2:$C$76, MATCH(1, (Raw_Financials!$A$2:$A$76="Adani Green")*(Raw_Financials!$B$2:$B$76="2024"),0)+1),"")))</f>
        <v>0.32248992801991222</v>
      </c>
      <c r="K41" cm="1">
        <f t="array" ref="K41">IF(OR(IFERROR(INDEX(Raw_ESG!$C$2:$C$76, MATCH(1, (Raw_ESG!$A$2:$A$76="Adani Green")*(Raw_ESG!$B$2:$B$76="2024"),0)+1),"")="",IFERROR(INDEX(Raw_Financials!$J$2:$J$76, MATCH(1, (Raw_Financials!$A$2:$A$76="Adani Green")*(Raw_Financials!$B$2:$B$76="2024"),0)+1),"")=""),"",(IFERROR(INDEX(Raw_ESG!$C$2:$C$76, MATCH(1, (Raw_ESG!$A$2:$A$76="Adani Green")*(Raw_ESG!$B$2:$B$76="2024"),0)+1),""))/(IFERROR(INDEX(Raw_Financials!$J$2:$J$76, MATCH(1, (Raw_Financials!$A$2:$A$76="Adani Green")*(Raw_Financials!$B$2:$B$76="2024"),0)+1),"")))</f>
        <v>0.35986323718282481</v>
      </c>
      <c r="L41" cm="1">
        <f t="array" ref="L41">IF(OR(IFERROR(INDEX(Raw_ESG!$D$2:$D$76, MATCH(1, (Raw_ESG!$A$2:$A$76="Adani Green")*(Raw_ESG!$B$2:$B$76="2024"),0)+1),"")="",IFERROR(INDEX(Raw_Financials!$E$2:$E$76, MATCH(1, (Raw_Financials!$A$2:$A$76="Adani Green")*(Raw_Financials!$B$2:$B$76="2024"),0)+1),"")=""),"",(IFERROR(INDEX(Raw_ESG!$D$2:$D$76, MATCH(1, (Raw_ESG!$A$2:$A$76="Adani Green")*(Raw_ESG!$B$2:$B$76="2024"),0)+1),""))/(IFERROR(INDEX(Raw_Financials!$E$2:$E$76, MATCH(1, (Raw_Financials!$A$2:$A$76="Adani Green")*(Raw_Financials!$B$2:$B$76="2024"),0)+1),"")))</f>
        <v>0.27010128942368883</v>
      </c>
      <c r="M41" cm="1">
        <f t="array" ref="M41">IF(OR(IFERROR(INDEX(Raw_ESG!$E$2:$E$76, MATCH(1, (Raw_ESG!$A$2:$A$76="Adani Green")*(Raw_ESG!$B$2:$B$76="2024"),0)+1),"")="",IFERROR(INDEX(Raw_ESG!$F$2:$F$76, MATCH(1, (Raw_ESG!$A$2:$A$76="Adani Green")*(Raw_ESG!$B$2:$B$76="2024"),0)+1),"")=""),"",(IFERROR(INDEX(Raw_ESG!$E$2:$E$76, MATCH(1, (Raw_ESG!$A$2:$A$76="Adani Green")*(Raw_ESG!$B$2:$B$76="2024"),0)+1),""))+(IFERROR(INDEX(Raw_ESG!$F$2:$F$76, MATCH(1, (Raw_ESG!$A$2:$A$76="Adani Green")*(Raw_ESG!$B$2:$B$76="2024"),0)+1),"")))</f>
        <v>121348.70999999999</v>
      </c>
      <c r="N41" cm="1">
        <f t="array" ref="N41">IFERROR(INDEX(Raw_ESG!$G$2:$G$76, MATCH(1, (Raw_ESG!$A$2:$A$76="Adani Green")*(Raw_ESG!$B$2:$B$76="2024"),0)+1),"")</f>
        <v>64.58</v>
      </c>
    </row>
    <row r="42" spans="1:14" x14ac:dyDescent="0.35">
      <c r="A42" t="s">
        <v>10</v>
      </c>
      <c r="B42" t="s">
        <v>33</v>
      </c>
      <c r="C42" cm="1">
        <f t="array" ref="C42">IF(OR(IFERROR(INDEX(Raw_Financials!$E$2:$E$76, MATCH(1, (Raw_Financials!$A$2:$A$76="Power Grid")*(Raw_Financials!$B$2:$B$76="2020"),0)+1),"")="",IFERROR(INDEX(Raw_Financials!$D$2:$D$76, MATCH(1, (Raw_Financials!$A$2:$A$76="Power Grid")*(Raw_Financials!$B$2:$B$76="2020"),0)+1),"")=""),"",(IFERROR(INDEX(Raw_Financials!$D$2:$D$76, MATCH(1, (Raw_Financials!$A$2:$A$76="Power Grid")*(Raw_Financials!$B$2:$B$76="2020"),0)+1),""))/(IFERROR(INDEX(Raw_Financials!$E$2:$E$76, MATCH(1, (Raw_Financials!$A$2:$A$76="Power Grid")*(Raw_Financials!$B$2:$B$76="2020"),0)+1),"")))</f>
        <v>3.8518462580766688E-2</v>
      </c>
      <c r="D42" cm="1">
        <f t="array" ref="D42">IF(OR(IFERROR(INDEX(Raw_Financials!$E$2:$E$76, MATCH(1, (Raw_Financials!$A$2:$A$76="Power Grid")*(Raw_Financials!$B$2:$B$76="2020"),0)+1),"")="",IFERROR(INDEX(Raw_Financials!$C$2:$C$76, MATCH(1, (Raw_Financials!$A$2:$A$76="Power Grid")*(Raw_Financials!$B$2:$B$76="2020"),0)+1),"")=""),"",(IFERROR(INDEX(Raw_Financials!$C$2:$C$76, MATCH(1, (Raw_Financials!$A$2:$A$76="Power Grid")*(Raw_Financials!$B$2:$B$76="2020"),0)+1),""))/(IFERROR(INDEX(Raw_Financials!$E$2:$E$76, MATCH(1, (Raw_Financials!$A$2:$A$76="Power Grid")*(Raw_Financials!$B$2:$B$76="2020"),0)+1),"")))</f>
        <v>0.60965085451034118</v>
      </c>
      <c r="E42" cm="1">
        <f t="array" ref="E42">IF(OR(IFERROR(INDEX(Raw_Financials!$G$2:$G$76, MATCH(1, (Raw_Financials!$A$2:$A$76="Power Grid")*(Raw_Financials!$B$2:$B$76="2020"),0)+1),"")="",IFERROR(INDEX(Raw_Financials!$H$2:$H$76, MATCH(1, (Raw_Financials!$A$2:$A$76="Power Grid")*(Raw_Financials!$B$2:$B$76="2020"),0)+1),"")=""),"",(IFERROR(INDEX(Raw_Financials!$G$2:$G$76, MATCH(1, (Raw_Financials!$A$2:$A$76="Power Grid")*(Raw_Financials!$B$2:$B$76="2020"),0)+1),""))-(IFERROR(INDEX(Raw_Financials!$H$2:$H$76, MATCH(1, (Raw_Financials!$A$2:$A$76="Power Grid")*(Raw_Financials!$B$2:$B$76="2020"),0)+1),"")))</f>
        <v>29394.76</v>
      </c>
      <c r="F42" cm="1">
        <f t="array" ref="F42">IF(OR(IFERROR(INDEX(Raw_Financials!$C$2:$C$76, MATCH(1, (Raw_Financials!$A$2:$A$76="Power Grid")*(Raw_Financials!$B$2:$B$76="2020"),0)+1),"")="",IF(OR(IFERROR(INDEX(Raw_Financials!$G$2:$G$76, MATCH(1, (Raw_Financials!$A$2:$A$76="Power Grid")*(Raw_Financials!$B$2:$B$76="2020"),0)+1),"")="",IFERROR(INDEX(Raw_Financials!$H$2:$H$76, MATCH(1, (Raw_Financials!$A$2:$A$76="Power Grid")*(Raw_Financials!$B$2:$B$76="2020"),0)+1),"")=""),"",(IFERROR(INDEX(Raw_Financials!$G$2:$G$76, MATCH(1, (Raw_Financials!$A$2:$A$76="Power Grid")*(Raw_Financials!$B$2:$B$76="2020"),0)+1),""))-(IFERROR(INDEX(Raw_Financials!$H$2:$H$76, MATCH(1, (Raw_Financials!$A$2:$A$76="Power Grid")*(Raw_Financials!$B$2:$B$76="2020"),0)+1),"")))=""),"",(IFERROR(INDEX(Raw_Financials!$C$2:$C$76, MATCH(1, (Raw_Financials!$A$2:$A$76="Power Grid")*(Raw_Financials!$B$2:$B$76="2020"),0)+1),""))/(IF(OR(IFERROR(INDEX(Raw_Financials!$G$2:$G$76, MATCH(1, (Raw_Financials!$A$2:$A$76="Power Grid")*(Raw_Financials!$B$2:$B$76="2020"),0)+1),"")="",IFERROR(INDEX(Raw_Financials!$H$2:$H$76, MATCH(1, (Raw_Financials!$A$2:$A$76="Power Grid")*(Raw_Financials!$B$2:$B$76="2020"),0)+1),"")=""),"",(IFERROR(INDEX(Raw_Financials!$G$2:$G$76, MATCH(1, (Raw_Financials!$A$2:$A$76="Power Grid")*(Raw_Financials!$B$2:$B$76="2020"),0)+1),""))-(IFERROR(INDEX(Raw_Financials!$H$2:$H$76, MATCH(1, (Raw_Financials!$A$2:$A$76="Power Grid")*(Raw_Financials!$B$2:$B$76="2020"),0)+1),"")))))</f>
        <v>2.4168804235857002</v>
      </c>
      <c r="G42" cm="1">
        <f t="array" ref="G42">IF(OR(IFERROR(INDEX(Raw_Financials!$O$2:$O$76, MATCH(1, (Raw_Financials!$A$2:$A$76="Power Grid")*(Raw_Financials!$B$2:$B$76="2020"),0)+1),"")="",IFERROR(INDEX(Raw_Financials!$M$2:$M$76, MATCH(1, (Raw_Financials!$A$2:$A$76="Power Grid")*(Raw_Financials!$B$2:$B$76="2020"),0)+1),"")=""),"",(IFERROR(INDEX(Raw_Financials!$O$2:$O$76, MATCH(1, (Raw_Financials!$A$2:$A$76="Power Grid")*(Raw_Financials!$B$2:$B$76="2020"),0)+1),""))/(IFERROR(INDEX(Raw_Financials!$M$2:$M$76, MATCH(1, (Raw_Financials!$A$2:$A$76="Power Grid")*(Raw_Financials!$B$2:$B$76="2020"),0)+1),"")))</f>
        <v>3.5891691175243565</v>
      </c>
      <c r="H42" cm="1">
        <f t="array" ref="H42">IF(OR(IFERROR(INDEX(Raw_Financials!$M$2:$M$76, MATCH(1, (Raw_Financials!$A$2:$A$76="Power Grid")*(Raw_Financials!$B$2:$B$76="2020"),0)+1),"")="",IFERROR(INDEX(Raw_Financials!$L$2:$L$76, MATCH(1, (Raw_Financials!$A$2:$A$76="Power Grid")*(Raw_Financials!$B$2:$B$76="2020"),0)+1),"")=""),"",(IFERROR(INDEX(Raw_Financials!$M$2:$M$76, MATCH(1, (Raw_Financials!$A$2:$A$76="Power Grid")*(Raw_Financials!$B$2:$B$76="2020"),0)+1),""))/(IFERROR(INDEX(Raw_Financials!$L$2:$L$76, MATCH(1, (Raw_Financials!$A$2:$A$76="Power Grid")*(Raw_Financials!$B$2:$B$76="2020"),0)+1),"")))</f>
        <v>3.1081078180806863</v>
      </c>
      <c r="I42" cm="1">
        <f t="array" ref="I42">IF(OR(IFERROR(INDEX(Raw_Financials!$N$2:$N$76, MATCH(1, (Raw_Financials!$A$2:$A$76="Power Grid")*(Raw_Financials!$B$2:$B$76="2020"),0)+1),"")="",IFERROR(INDEX(Raw_Financials!$J$2:$J$76, MATCH(1, (Raw_Financials!$A$2:$A$76="Power Grid")*(Raw_Financials!$B$2:$B$76="2020"),0)+1),"")=""),"",(IFERROR(INDEX(Raw_Financials!$N$2:$N$76, MATCH(1, (Raw_Financials!$A$2:$A$76="Power Grid")*(Raw_Financials!$B$2:$B$76="2020"),0)+1),""))-(IFERROR(INDEX(Raw_Financials!$J$2:$J$76, MATCH(1, (Raw_Financials!$A$2:$A$76="Power Grid")*(Raw_Financials!$B$2:$B$76="2020"),0)+1),"")))</f>
        <v>15358.65</v>
      </c>
      <c r="J42" cm="1">
        <f t="array" ref="J42">IF(OR(IFERROR(INDEX(Raw_Financials!$M$2:$M$76, MATCH(1, (Raw_Financials!$A$2:$A$76="Power Grid")*(Raw_Financials!$B$2:$B$76="2020"),0)+1),"")="",IFERROR(INDEX(Raw_Financials!$C$2:$C$76, MATCH(1, (Raw_Financials!$A$2:$A$76="Power Grid")*(Raw_Financials!$B$2:$B$76="2020"),0)+1),"")=""),"",(IFERROR(INDEX(Raw_Financials!$M$2:$M$76, MATCH(1, (Raw_Financials!$A$2:$A$76="Power Grid")*(Raw_Financials!$B$2:$B$76="2020"),0)+1),""))/(IFERROR(INDEX(Raw_Financials!$C$2:$C$76, MATCH(1, (Raw_Financials!$A$2:$A$76="Power Grid")*(Raw_Financials!$B$2:$B$76="2020"),0)+1),"")))</f>
        <v>0.24461408357288103</v>
      </c>
      <c r="K42" cm="1">
        <f t="array" ref="K42">IF(OR(IFERROR(INDEX(Raw_ESG!$C$2:$C$76, MATCH(1, (Raw_ESG!$A$2:$A$76="Power Grid")*(Raw_ESG!$B$2:$B$76="2020"),0)+1),"")="",IFERROR(INDEX(Raw_Financials!$J$2:$J$76, MATCH(1, (Raw_Financials!$A$2:$A$76="Power Grid")*(Raw_Financials!$B$2:$B$76="2020"),0)+1),"")=""),"",(IFERROR(INDEX(Raw_ESG!$C$2:$C$76, MATCH(1, (Raw_ESG!$A$2:$A$76="Power Grid")*(Raw_ESG!$B$2:$B$76="2020"),0)+1),""))/(IFERROR(INDEX(Raw_Financials!$J$2:$J$76, MATCH(1, (Raw_Financials!$A$2:$A$76="Power Grid")*(Raw_Financials!$B$2:$B$76="2020"),0)+1),"")))</f>
        <v>0.57163010412741599</v>
      </c>
      <c r="L42" cm="1">
        <f t="array" ref="L42">IF(OR(IFERROR(INDEX(Raw_ESG!$D$2:$D$76, MATCH(1, (Raw_ESG!$A$2:$A$76="Power Grid")*(Raw_ESG!$B$2:$B$76="2020"),0)+1),"")="",IFERROR(INDEX(Raw_Financials!$E$2:$E$76, MATCH(1, (Raw_Financials!$A$2:$A$76="Power Grid")*(Raw_Financials!$B$2:$B$76="2020"),0)+1),"")=""),"",(IFERROR(INDEX(Raw_ESG!$D$2:$D$76, MATCH(1, (Raw_ESG!$A$2:$A$76="Power Grid")*(Raw_ESG!$B$2:$B$76="2020"),0)+1),""))/(IFERROR(INDEX(Raw_Financials!$E$2:$E$76, MATCH(1, (Raw_Financials!$A$2:$A$76="Power Grid")*(Raw_Financials!$B$2:$B$76="2020"),0)+1),"")))</f>
        <v>0.22374556611873256</v>
      </c>
      <c r="M42" cm="1">
        <f t="array" ref="M42">IF(OR(IFERROR(INDEX(Raw_ESG!$E$2:$E$76, MATCH(1, (Raw_ESG!$A$2:$A$76="Power Grid")*(Raw_ESG!$B$2:$B$76="2020"),0)+1),"")="",IFERROR(INDEX(Raw_ESG!$F$2:$F$76, MATCH(1, (Raw_ESG!$A$2:$A$76="Power Grid")*(Raw_ESG!$B$2:$B$76="2020"),0)+1),"")=""),"",(IFERROR(INDEX(Raw_ESG!$E$2:$E$76, MATCH(1, (Raw_ESG!$A$2:$A$76="Power Grid")*(Raw_ESG!$B$2:$B$76="2020"),0)+1),""))+(IFERROR(INDEX(Raw_ESG!$F$2:$F$76, MATCH(1, (Raw_ESG!$A$2:$A$76="Power Grid")*(Raw_ESG!$B$2:$B$76="2020"),0)+1),"")))</f>
        <v>199572.37</v>
      </c>
      <c r="N42" cm="1">
        <f t="array" ref="N42">IFERROR(INDEX(Raw_ESG!$G$2:$G$76, MATCH(1, (Raw_ESG!$A$2:$A$76="Power Grid")*(Raw_ESG!$B$2:$B$76="2020"),0)+1),"")</f>
        <v>63.67</v>
      </c>
    </row>
    <row r="43" spans="1:14" x14ac:dyDescent="0.35">
      <c r="A43" t="s">
        <v>10</v>
      </c>
      <c r="B43" t="s">
        <v>34</v>
      </c>
      <c r="C43" cm="1">
        <f t="array" ref="C43">IF(OR(IFERROR(INDEX(Raw_Financials!$E$2:$E$76, MATCH(1, (Raw_Financials!$A$2:$A$76="Power Grid")*(Raw_Financials!$B$2:$B$76="2021"),0)+1),"")="",IFERROR(INDEX(Raw_Financials!$D$2:$D$76, MATCH(1, (Raw_Financials!$A$2:$A$76="Power Grid")*(Raw_Financials!$B$2:$B$76="2021"),0)+1),"")=""),"",(IFERROR(INDEX(Raw_Financials!$D$2:$D$76, MATCH(1, (Raw_Financials!$A$2:$A$76="Power Grid")*(Raw_Financials!$B$2:$B$76="2021"),0)+1),""))/(IFERROR(INDEX(Raw_Financials!$E$2:$E$76, MATCH(1, (Raw_Financials!$A$2:$A$76="Power Grid")*(Raw_Financials!$B$2:$B$76="2021"),0)+1),"")))</f>
        <v>7.3552097829334542E-2</v>
      </c>
      <c r="D43" cm="1">
        <f t="array" ref="D43">IF(OR(IFERROR(INDEX(Raw_Financials!$E$2:$E$76, MATCH(1, (Raw_Financials!$A$2:$A$76="Power Grid")*(Raw_Financials!$B$2:$B$76="2021"),0)+1),"")="",IFERROR(INDEX(Raw_Financials!$C$2:$C$76, MATCH(1, (Raw_Financials!$A$2:$A$76="Power Grid")*(Raw_Financials!$B$2:$B$76="2021"),0)+1),"")=""),"",(IFERROR(INDEX(Raw_Financials!$C$2:$C$76, MATCH(1, (Raw_Financials!$A$2:$A$76="Power Grid")*(Raw_Financials!$B$2:$B$76="2021"),0)+1),""))/(IFERROR(INDEX(Raw_Financials!$E$2:$E$76, MATCH(1, (Raw_Financials!$A$2:$A$76="Power Grid")*(Raw_Financials!$B$2:$B$76="2021"),0)+1),"")))</f>
        <v>0.39978143231683461</v>
      </c>
      <c r="E43" cm="1">
        <f t="array" ref="E43">IF(OR(IFERROR(INDEX(Raw_Financials!$G$2:$G$76, MATCH(1, (Raw_Financials!$A$2:$A$76="Power Grid")*(Raw_Financials!$B$2:$B$76="2021"),0)+1),"")="",IFERROR(INDEX(Raw_Financials!$H$2:$H$76, MATCH(1, (Raw_Financials!$A$2:$A$76="Power Grid")*(Raw_Financials!$B$2:$B$76="2021"),0)+1),"")=""),"",(IFERROR(INDEX(Raw_Financials!$G$2:$G$76, MATCH(1, (Raw_Financials!$A$2:$A$76="Power Grid")*(Raw_Financials!$B$2:$B$76="2021"),0)+1),""))-(IFERROR(INDEX(Raw_Financials!$H$2:$H$76, MATCH(1, (Raw_Financials!$A$2:$A$76="Power Grid")*(Raw_Financials!$B$2:$B$76="2021"),0)+1),"")))</f>
        <v>-4135.489999999998</v>
      </c>
      <c r="F43" cm="1">
        <f t="array" ref="F43">IF(OR(IFERROR(INDEX(Raw_Financials!$C$2:$C$76, MATCH(1, (Raw_Financials!$A$2:$A$76="Power Grid")*(Raw_Financials!$B$2:$B$76="2021"),0)+1),"")="",IF(OR(IFERROR(INDEX(Raw_Financials!$G$2:$G$76, MATCH(1, (Raw_Financials!$A$2:$A$76="Power Grid")*(Raw_Financials!$B$2:$B$76="2021"),0)+1),"")="",IFERROR(INDEX(Raw_Financials!$H$2:$H$76, MATCH(1, (Raw_Financials!$A$2:$A$76="Power Grid")*(Raw_Financials!$B$2:$B$76="2021"),0)+1),"")=""),"",(IFERROR(INDEX(Raw_Financials!$G$2:$G$76, MATCH(1, (Raw_Financials!$A$2:$A$76="Power Grid")*(Raw_Financials!$B$2:$B$76="2021"),0)+1),""))-(IFERROR(INDEX(Raw_Financials!$H$2:$H$76, MATCH(1, (Raw_Financials!$A$2:$A$76="Power Grid")*(Raw_Financials!$B$2:$B$76="2021"),0)+1),"")))=""),"",(IFERROR(INDEX(Raw_Financials!$C$2:$C$76, MATCH(1, (Raw_Financials!$A$2:$A$76="Power Grid")*(Raw_Financials!$B$2:$B$76="2021"),0)+1),""))/(IF(OR(IFERROR(INDEX(Raw_Financials!$G$2:$G$76, MATCH(1, (Raw_Financials!$A$2:$A$76="Power Grid")*(Raw_Financials!$B$2:$B$76="2021"),0)+1),"")="",IFERROR(INDEX(Raw_Financials!$H$2:$H$76, MATCH(1, (Raw_Financials!$A$2:$A$76="Power Grid")*(Raw_Financials!$B$2:$B$76="2021"),0)+1),"")=""),"",(IFERROR(INDEX(Raw_Financials!$G$2:$G$76, MATCH(1, (Raw_Financials!$A$2:$A$76="Power Grid")*(Raw_Financials!$B$2:$B$76="2021"),0)+1),""))-(IFERROR(INDEX(Raw_Financials!$H$2:$H$76, MATCH(1, (Raw_Financials!$A$2:$A$76="Power Grid")*(Raw_Financials!$B$2:$B$76="2021"),0)+1),"")))))</f>
        <v>-14.669961721585601</v>
      </c>
      <c r="G43" cm="1">
        <f t="array" ref="G43">IF(OR(IFERROR(INDEX(Raw_Financials!$O$2:$O$76, MATCH(1, (Raw_Financials!$A$2:$A$76="Power Grid")*(Raw_Financials!$B$2:$B$76="2021"),0)+1),"")="",IFERROR(INDEX(Raw_Financials!$M$2:$M$76, MATCH(1, (Raw_Financials!$A$2:$A$76="Power Grid")*(Raw_Financials!$B$2:$B$76="2021"),0)+1),"")=""),"",(IFERROR(INDEX(Raw_Financials!$O$2:$O$76, MATCH(1, (Raw_Financials!$A$2:$A$76="Power Grid")*(Raw_Financials!$B$2:$B$76="2021"),0)+1),""))/(IFERROR(INDEX(Raw_Financials!$M$2:$M$76, MATCH(1, (Raw_Financials!$A$2:$A$76="Power Grid")*(Raw_Financials!$B$2:$B$76="2021"),0)+1),"")))</f>
        <v>3.4199561213757352</v>
      </c>
      <c r="H43" cm="1">
        <f t="array" ref="H43">IF(OR(IFERROR(INDEX(Raw_Financials!$M$2:$M$76, MATCH(1, (Raw_Financials!$A$2:$A$76="Power Grid")*(Raw_Financials!$B$2:$B$76="2021"),0)+1),"")="",IFERROR(INDEX(Raw_Financials!$L$2:$L$76, MATCH(1, (Raw_Financials!$A$2:$A$76="Power Grid")*(Raw_Financials!$B$2:$B$76="2021"),0)+1),"")=""),"",(IFERROR(INDEX(Raw_Financials!$M$2:$M$76, MATCH(1, (Raw_Financials!$A$2:$A$76="Power Grid")*(Raw_Financials!$B$2:$B$76="2021"),0)+1),""))/(IFERROR(INDEX(Raw_Financials!$L$2:$L$76, MATCH(1, (Raw_Financials!$A$2:$A$76="Power Grid")*(Raw_Financials!$B$2:$B$76="2021"),0)+1),"")))</f>
        <v>2.3712777162241645</v>
      </c>
      <c r="I43" cm="1">
        <f t="array" ref="I43">IF(OR(IFERROR(INDEX(Raw_Financials!$N$2:$N$76, MATCH(1, (Raw_Financials!$A$2:$A$76="Power Grid")*(Raw_Financials!$B$2:$B$76="2021"),0)+1),"")="",IFERROR(INDEX(Raw_Financials!$J$2:$J$76, MATCH(1, (Raw_Financials!$A$2:$A$76="Power Grid")*(Raw_Financials!$B$2:$B$76="2021"),0)+1),"")=""),"",(IFERROR(INDEX(Raw_Financials!$N$2:$N$76, MATCH(1, (Raw_Financials!$A$2:$A$76="Power Grid")*(Raw_Financials!$B$2:$B$76="2021"),0)+1),""))-(IFERROR(INDEX(Raw_Financials!$J$2:$J$76, MATCH(1, (Raw_Financials!$A$2:$A$76="Power Grid")*(Raw_Financials!$B$2:$B$76="2021"),0)+1),"")))</f>
        <v>13127.27</v>
      </c>
      <c r="J43" cm="1">
        <f t="array" ref="J43">IF(OR(IFERROR(INDEX(Raw_Financials!$M$2:$M$76, MATCH(1, (Raw_Financials!$A$2:$A$76="Power Grid")*(Raw_Financials!$B$2:$B$76="2021"),0)+1),"")="",IFERROR(INDEX(Raw_Financials!$C$2:$C$76, MATCH(1, (Raw_Financials!$A$2:$A$76="Power Grid")*(Raw_Financials!$B$2:$B$76="2021"),0)+1),"")=""),"",(IFERROR(INDEX(Raw_Financials!$M$2:$M$76, MATCH(1, (Raw_Financials!$A$2:$A$76="Power Grid")*(Raw_Financials!$B$2:$B$76="2021"),0)+1),""))/(IFERROR(INDEX(Raw_Financials!$C$2:$C$76, MATCH(1, (Raw_Financials!$A$2:$A$76="Power Grid")*(Raw_Financials!$B$2:$B$76="2021"),0)+1),"")))</f>
        <v>0.17144967946583572</v>
      </c>
      <c r="K43" cm="1">
        <f t="array" ref="K43">IF(OR(IFERROR(INDEX(Raw_ESG!$C$2:$C$76, MATCH(1, (Raw_ESG!$A$2:$A$76="Power Grid")*(Raw_ESG!$B$2:$B$76="2021"),0)+1),"")="",IFERROR(INDEX(Raw_Financials!$J$2:$J$76, MATCH(1, (Raw_Financials!$A$2:$A$76="Power Grid")*(Raw_Financials!$B$2:$B$76="2021"),0)+1),"")=""),"",(IFERROR(INDEX(Raw_ESG!$C$2:$C$76, MATCH(1, (Raw_ESG!$A$2:$A$76="Power Grid")*(Raw_ESG!$B$2:$B$76="2021"),0)+1),""))/(IFERROR(INDEX(Raw_Financials!$J$2:$J$76, MATCH(1, (Raw_Financials!$A$2:$A$76="Power Grid")*(Raw_Financials!$B$2:$B$76="2021"),0)+1),"")))</f>
        <v>0.35987129463642353</v>
      </c>
      <c r="L43" cm="1">
        <f t="array" ref="L43">IF(OR(IFERROR(INDEX(Raw_ESG!$D$2:$D$76, MATCH(1, (Raw_ESG!$A$2:$A$76="Power Grid")*(Raw_ESG!$B$2:$B$76="2021"),0)+1),"")="",IFERROR(INDEX(Raw_Financials!$E$2:$E$76, MATCH(1, (Raw_Financials!$A$2:$A$76="Power Grid")*(Raw_Financials!$B$2:$B$76="2021"),0)+1),"")=""),"",(IFERROR(INDEX(Raw_ESG!$D$2:$D$76, MATCH(1, (Raw_ESG!$A$2:$A$76="Power Grid")*(Raw_ESG!$B$2:$B$76="2021"),0)+1),""))/(IFERROR(INDEX(Raw_Financials!$E$2:$E$76, MATCH(1, (Raw_Financials!$A$2:$A$76="Power Grid")*(Raw_Financials!$B$2:$B$76="2021"),0)+1),"")))</f>
        <v>9.0486019193732489E-2</v>
      </c>
      <c r="M43" cm="1">
        <f t="array" ref="M43">IF(OR(IFERROR(INDEX(Raw_ESG!$E$2:$E$76, MATCH(1, (Raw_ESG!$A$2:$A$76="Power Grid")*(Raw_ESG!$B$2:$B$76="2021"),0)+1),"")="",IFERROR(INDEX(Raw_ESG!$F$2:$F$76, MATCH(1, (Raw_ESG!$A$2:$A$76="Power Grid")*(Raw_ESG!$B$2:$B$76="2021"),0)+1),"")=""),"",(IFERROR(INDEX(Raw_ESG!$E$2:$E$76, MATCH(1, (Raw_ESG!$A$2:$A$76="Power Grid")*(Raw_ESG!$B$2:$B$76="2021"),0)+1),""))+(IFERROR(INDEX(Raw_ESG!$F$2:$F$76, MATCH(1, (Raw_ESG!$A$2:$A$76="Power Grid")*(Raw_ESG!$B$2:$B$76="2021"),0)+1),"")))</f>
        <v>200166.01</v>
      </c>
      <c r="N43" cm="1">
        <f t="array" ref="N43">IFERROR(INDEX(Raw_ESG!$G$2:$G$76, MATCH(1, (Raw_ESG!$A$2:$A$76="Power Grid")*(Raw_ESG!$B$2:$B$76="2021"),0)+1),"")</f>
        <v>48.66</v>
      </c>
    </row>
    <row r="44" spans="1:14" x14ac:dyDescent="0.35">
      <c r="A44" t="s">
        <v>10</v>
      </c>
      <c r="B44" t="s">
        <v>35</v>
      </c>
      <c r="C44" cm="1">
        <f t="array" ref="C44">IF(OR(IFERROR(INDEX(Raw_Financials!$E$2:$E$76, MATCH(1, (Raw_Financials!$A$2:$A$76="Power Grid")*(Raw_Financials!$B$2:$B$76="2022"),0)+1),"")="",IFERROR(INDEX(Raw_Financials!$D$2:$D$76, MATCH(1, (Raw_Financials!$A$2:$A$76="Power Grid")*(Raw_Financials!$B$2:$B$76="2022"),0)+1),"")=""),"",(IFERROR(INDEX(Raw_Financials!$D$2:$D$76, MATCH(1, (Raw_Financials!$A$2:$A$76="Power Grid")*(Raw_Financials!$B$2:$B$76="2022"),0)+1),""))/(IFERROR(INDEX(Raw_Financials!$E$2:$E$76, MATCH(1, (Raw_Financials!$A$2:$A$76="Power Grid")*(Raw_Financials!$B$2:$B$76="2022"),0)+1),"")))</f>
        <v>4.9465539745348647E-2</v>
      </c>
      <c r="D44" cm="1">
        <f t="array" ref="D44">IF(OR(IFERROR(INDEX(Raw_Financials!$E$2:$E$76, MATCH(1, (Raw_Financials!$A$2:$A$76="Power Grid")*(Raw_Financials!$B$2:$B$76="2022"),0)+1),"")="",IFERROR(INDEX(Raw_Financials!$C$2:$C$76, MATCH(1, (Raw_Financials!$A$2:$A$76="Power Grid")*(Raw_Financials!$B$2:$B$76="2022"),0)+1),"")=""),"",(IFERROR(INDEX(Raw_Financials!$C$2:$C$76, MATCH(1, (Raw_Financials!$A$2:$A$76="Power Grid")*(Raw_Financials!$B$2:$B$76="2022"),0)+1),""))/(IFERROR(INDEX(Raw_Financials!$E$2:$E$76, MATCH(1, (Raw_Financials!$A$2:$A$76="Power Grid")*(Raw_Financials!$B$2:$B$76="2022"),0)+1),"")))</f>
        <v>0.39310334104447253</v>
      </c>
      <c r="E44" cm="1">
        <f t="array" ref="E44">IF(OR(IFERROR(INDEX(Raw_Financials!$G$2:$G$76, MATCH(1, (Raw_Financials!$A$2:$A$76="Power Grid")*(Raw_Financials!$B$2:$B$76="2022"),0)+1),"")="",IFERROR(INDEX(Raw_Financials!$H$2:$H$76, MATCH(1, (Raw_Financials!$A$2:$A$76="Power Grid")*(Raw_Financials!$B$2:$B$76="2022"),0)+1),"")=""),"",(IFERROR(INDEX(Raw_Financials!$G$2:$G$76, MATCH(1, (Raw_Financials!$A$2:$A$76="Power Grid")*(Raw_Financials!$B$2:$B$76="2022"),0)+1),""))-(IFERROR(INDEX(Raw_Financials!$H$2:$H$76, MATCH(1, (Raw_Financials!$A$2:$A$76="Power Grid")*(Raw_Financials!$B$2:$B$76="2022"),0)+1),"")))</f>
        <v>22330.080000000002</v>
      </c>
      <c r="F44" cm="1">
        <f t="array" ref="F44">IF(OR(IFERROR(INDEX(Raw_Financials!$C$2:$C$76, MATCH(1, (Raw_Financials!$A$2:$A$76="Power Grid")*(Raw_Financials!$B$2:$B$76="2022"),0)+1),"")="",IF(OR(IFERROR(INDEX(Raw_Financials!$G$2:$G$76, MATCH(1, (Raw_Financials!$A$2:$A$76="Power Grid")*(Raw_Financials!$B$2:$B$76="2022"),0)+1),"")="",IFERROR(INDEX(Raw_Financials!$H$2:$H$76, MATCH(1, (Raw_Financials!$A$2:$A$76="Power Grid")*(Raw_Financials!$B$2:$B$76="2022"),0)+1),"")=""),"",(IFERROR(INDEX(Raw_Financials!$G$2:$G$76, MATCH(1, (Raw_Financials!$A$2:$A$76="Power Grid")*(Raw_Financials!$B$2:$B$76="2022"),0)+1),""))-(IFERROR(INDEX(Raw_Financials!$H$2:$H$76, MATCH(1, (Raw_Financials!$A$2:$A$76="Power Grid")*(Raw_Financials!$B$2:$B$76="2022"),0)+1),"")))=""),"",(IFERROR(INDEX(Raw_Financials!$C$2:$C$76, MATCH(1, (Raw_Financials!$A$2:$A$76="Power Grid")*(Raw_Financials!$B$2:$B$76="2022"),0)+1),""))/(IF(OR(IFERROR(INDEX(Raw_Financials!$G$2:$G$76, MATCH(1, (Raw_Financials!$A$2:$A$76="Power Grid")*(Raw_Financials!$B$2:$B$76="2022"),0)+1),"")="",IFERROR(INDEX(Raw_Financials!$H$2:$H$76, MATCH(1, (Raw_Financials!$A$2:$A$76="Power Grid")*(Raw_Financials!$B$2:$B$76="2022"),0)+1),"")=""),"",(IFERROR(INDEX(Raw_Financials!$G$2:$G$76, MATCH(1, (Raw_Financials!$A$2:$A$76="Power Grid")*(Raw_Financials!$B$2:$B$76="2022"),0)+1),""))-(IFERROR(INDEX(Raw_Financials!$H$2:$H$76, MATCH(1, (Raw_Financials!$A$2:$A$76="Power Grid")*(Raw_Financials!$B$2:$B$76="2022"),0)+1),"")))))</f>
        <v>3.113574156474137</v>
      </c>
      <c r="G44" cm="1">
        <f t="array" ref="G44">IF(OR(IFERROR(INDEX(Raw_Financials!$O$2:$O$76, MATCH(1, (Raw_Financials!$A$2:$A$76="Power Grid")*(Raw_Financials!$B$2:$B$76="2022"),0)+1),"")="",IFERROR(INDEX(Raw_Financials!$M$2:$M$76, MATCH(1, (Raw_Financials!$A$2:$A$76="Power Grid")*(Raw_Financials!$B$2:$B$76="2022"),0)+1),"")=""),"",(IFERROR(INDEX(Raw_Financials!$O$2:$O$76, MATCH(1, (Raw_Financials!$A$2:$A$76="Power Grid")*(Raw_Financials!$B$2:$B$76="2022"),0)+1),""))/(IFERROR(INDEX(Raw_Financials!$M$2:$M$76, MATCH(1, (Raw_Financials!$A$2:$A$76="Power Grid")*(Raw_Financials!$B$2:$B$76="2022"),0)+1),"")))</f>
        <v>3.4381334346749139</v>
      </c>
      <c r="H44" cm="1">
        <f t="array" ref="H44">IF(OR(IFERROR(INDEX(Raw_Financials!$M$2:$M$76, MATCH(1, (Raw_Financials!$A$2:$A$76="Power Grid")*(Raw_Financials!$B$2:$B$76="2022"),0)+1),"")="",IFERROR(INDEX(Raw_Financials!$L$2:$L$76, MATCH(1, (Raw_Financials!$A$2:$A$76="Power Grid")*(Raw_Financials!$B$2:$B$76="2022"),0)+1),"")=""),"",(IFERROR(INDEX(Raw_Financials!$M$2:$M$76, MATCH(1, (Raw_Financials!$A$2:$A$76="Power Grid")*(Raw_Financials!$B$2:$B$76="2022"),0)+1),""))/(IFERROR(INDEX(Raw_Financials!$L$2:$L$76, MATCH(1, (Raw_Financials!$A$2:$A$76="Power Grid")*(Raw_Financials!$B$2:$B$76="2022"),0)+1),"")))</f>
        <v>2.6944614988300453</v>
      </c>
      <c r="I44" cm="1">
        <f t="array" ref="I44">IF(OR(IFERROR(INDEX(Raw_Financials!$N$2:$N$76, MATCH(1, (Raw_Financials!$A$2:$A$76="Power Grid")*(Raw_Financials!$B$2:$B$76="2022"),0)+1),"")="",IFERROR(INDEX(Raw_Financials!$J$2:$J$76, MATCH(1, (Raw_Financials!$A$2:$A$76="Power Grid")*(Raw_Financials!$B$2:$B$76="2022"),0)+1),"")=""),"",(IFERROR(INDEX(Raw_Financials!$N$2:$N$76, MATCH(1, (Raw_Financials!$A$2:$A$76="Power Grid")*(Raw_Financials!$B$2:$B$76="2022"),0)+1),""))-(IFERROR(INDEX(Raw_Financials!$J$2:$J$76, MATCH(1, (Raw_Financials!$A$2:$A$76="Power Grid")*(Raw_Financials!$B$2:$B$76="2022"),0)+1),"")))</f>
        <v>8725.9900000000016</v>
      </c>
      <c r="J44" cm="1">
        <f t="array" ref="J44">IF(OR(IFERROR(INDEX(Raw_Financials!$M$2:$M$76, MATCH(1, (Raw_Financials!$A$2:$A$76="Power Grid")*(Raw_Financials!$B$2:$B$76="2022"),0)+1),"")="",IFERROR(INDEX(Raw_Financials!$C$2:$C$76, MATCH(1, (Raw_Financials!$A$2:$A$76="Power Grid")*(Raw_Financials!$B$2:$B$76="2022"),0)+1),"")=""),"",(IFERROR(INDEX(Raw_Financials!$M$2:$M$76, MATCH(1, (Raw_Financials!$A$2:$A$76="Power Grid")*(Raw_Financials!$B$2:$B$76="2022"),0)+1),""))/(IFERROR(INDEX(Raw_Financials!$C$2:$C$76, MATCH(1, (Raw_Financials!$A$2:$A$76="Power Grid")*(Raw_Financials!$B$2:$B$76="2022"),0)+1),"")))</f>
        <v>0.18053023342513544</v>
      </c>
      <c r="K44" cm="1">
        <f t="array" ref="K44">IF(OR(IFERROR(INDEX(Raw_ESG!$C$2:$C$76, MATCH(1, (Raw_ESG!$A$2:$A$76="Power Grid")*(Raw_ESG!$B$2:$B$76="2022"),0)+1),"")="",IFERROR(INDEX(Raw_Financials!$J$2:$J$76, MATCH(1, (Raw_Financials!$A$2:$A$76="Power Grid")*(Raw_Financials!$B$2:$B$76="2022"),0)+1),"")=""),"",(IFERROR(INDEX(Raw_ESG!$C$2:$C$76, MATCH(1, (Raw_ESG!$A$2:$A$76="Power Grid")*(Raw_ESG!$B$2:$B$76="2022"),0)+1),""))/(IFERROR(INDEX(Raw_Financials!$J$2:$J$76, MATCH(1, (Raw_Financials!$A$2:$A$76="Power Grid")*(Raw_Financials!$B$2:$B$76="2022"),0)+1),"")))</f>
        <v>0.64835610728708248</v>
      </c>
      <c r="L44" cm="1">
        <f t="array" ref="L44">IF(OR(IFERROR(INDEX(Raw_ESG!$D$2:$D$76, MATCH(1, (Raw_ESG!$A$2:$A$76="Power Grid")*(Raw_ESG!$B$2:$B$76="2022"),0)+1),"")="",IFERROR(INDEX(Raw_Financials!$E$2:$E$76, MATCH(1, (Raw_Financials!$A$2:$A$76="Power Grid")*(Raw_Financials!$B$2:$B$76="2022"),0)+1),"")=""),"",(IFERROR(INDEX(Raw_ESG!$D$2:$D$76, MATCH(1, (Raw_ESG!$A$2:$A$76="Power Grid")*(Raw_ESG!$B$2:$B$76="2022"),0)+1),""))/(IFERROR(INDEX(Raw_Financials!$E$2:$E$76, MATCH(1, (Raw_Financials!$A$2:$A$76="Power Grid")*(Raw_Financials!$B$2:$B$76="2022"),0)+1),"")))</f>
        <v>0.15747109312253643</v>
      </c>
      <c r="M44" cm="1">
        <f t="array" ref="M44">IF(OR(IFERROR(INDEX(Raw_ESG!$E$2:$E$76, MATCH(1, (Raw_ESG!$A$2:$A$76="Power Grid")*(Raw_ESG!$B$2:$B$76="2022"),0)+1),"")="",IFERROR(INDEX(Raw_ESG!$F$2:$F$76, MATCH(1, (Raw_ESG!$A$2:$A$76="Power Grid")*(Raw_ESG!$B$2:$B$76="2022"),0)+1),"")=""),"",(IFERROR(INDEX(Raw_ESG!$E$2:$E$76, MATCH(1, (Raw_ESG!$A$2:$A$76="Power Grid")*(Raw_ESG!$B$2:$B$76="2022"),0)+1),""))+(IFERROR(INDEX(Raw_ESG!$F$2:$F$76, MATCH(1, (Raw_ESG!$A$2:$A$76="Power Grid")*(Raw_ESG!$B$2:$B$76="2022"),0)+1),"")))</f>
        <v>156284.71</v>
      </c>
      <c r="N44" cm="1">
        <f t="array" ref="N44">IFERROR(INDEX(Raw_ESG!$G$2:$G$76, MATCH(1, (Raw_ESG!$A$2:$A$76="Power Grid")*(Raw_ESG!$B$2:$B$76="2022"),0)+1),"")</f>
        <v>61.69</v>
      </c>
    </row>
    <row r="45" spans="1:14" x14ac:dyDescent="0.35">
      <c r="A45" t="s">
        <v>10</v>
      </c>
      <c r="B45" t="s">
        <v>36</v>
      </c>
      <c r="C45" cm="1">
        <f t="array" ref="C45">IF(OR(IFERROR(INDEX(Raw_Financials!$E$2:$E$76, MATCH(1, (Raw_Financials!$A$2:$A$76="Power Grid")*(Raw_Financials!$B$2:$B$76="2023"),0)+1),"")="",IFERROR(INDEX(Raw_Financials!$D$2:$D$76, MATCH(1, (Raw_Financials!$A$2:$A$76="Power Grid")*(Raw_Financials!$B$2:$B$76="2023"),0)+1),"")=""),"",(IFERROR(INDEX(Raw_Financials!$D$2:$D$76, MATCH(1, (Raw_Financials!$A$2:$A$76="Power Grid")*(Raw_Financials!$B$2:$B$76="2023"),0)+1),""))/(IFERROR(INDEX(Raw_Financials!$E$2:$E$76, MATCH(1, (Raw_Financials!$A$2:$A$76="Power Grid")*(Raw_Financials!$B$2:$B$76="2023"),0)+1),"")))</f>
        <v>7.1697058026643404E-2</v>
      </c>
      <c r="D45" cm="1">
        <f t="array" ref="D45">IF(OR(IFERROR(INDEX(Raw_Financials!$E$2:$E$76, MATCH(1, (Raw_Financials!$A$2:$A$76="Power Grid")*(Raw_Financials!$B$2:$B$76="2023"),0)+1),"")="",IFERROR(INDEX(Raw_Financials!$C$2:$C$76, MATCH(1, (Raw_Financials!$A$2:$A$76="Power Grid")*(Raw_Financials!$B$2:$B$76="2023"),0)+1),"")=""),"",(IFERROR(INDEX(Raw_Financials!$C$2:$C$76, MATCH(1, (Raw_Financials!$A$2:$A$76="Power Grid")*(Raw_Financials!$B$2:$B$76="2023"),0)+1),""))/(IFERROR(INDEX(Raw_Financials!$E$2:$E$76, MATCH(1, (Raw_Financials!$A$2:$A$76="Power Grid")*(Raw_Financials!$B$2:$B$76="2023"),0)+1),"")))</f>
        <v>0.25806846023258984</v>
      </c>
      <c r="E45" cm="1">
        <f t="array" ref="E45">IF(OR(IFERROR(INDEX(Raw_Financials!$G$2:$G$76, MATCH(1, (Raw_Financials!$A$2:$A$76="Power Grid")*(Raw_Financials!$B$2:$B$76="2023"),0)+1),"")="",IFERROR(INDEX(Raw_Financials!$H$2:$H$76, MATCH(1, (Raw_Financials!$A$2:$A$76="Power Grid")*(Raw_Financials!$B$2:$B$76="2023"),0)+1),"")=""),"",(IFERROR(INDEX(Raw_Financials!$G$2:$G$76, MATCH(1, (Raw_Financials!$A$2:$A$76="Power Grid")*(Raw_Financials!$B$2:$B$76="2023"),0)+1),""))-(IFERROR(INDEX(Raw_Financials!$H$2:$H$76, MATCH(1, (Raw_Financials!$A$2:$A$76="Power Grid")*(Raw_Financials!$B$2:$B$76="2023"),0)+1),"")))</f>
        <v>4485.5299999999988</v>
      </c>
      <c r="F45" cm="1">
        <f t="array" ref="F45">IF(OR(IFERROR(INDEX(Raw_Financials!$C$2:$C$76, MATCH(1, (Raw_Financials!$A$2:$A$76="Power Grid")*(Raw_Financials!$B$2:$B$76="2023"),0)+1),"")="",IF(OR(IFERROR(INDEX(Raw_Financials!$G$2:$G$76, MATCH(1, (Raw_Financials!$A$2:$A$76="Power Grid")*(Raw_Financials!$B$2:$B$76="2023"),0)+1),"")="",IFERROR(INDEX(Raw_Financials!$H$2:$H$76, MATCH(1, (Raw_Financials!$A$2:$A$76="Power Grid")*(Raw_Financials!$B$2:$B$76="2023"),0)+1),"")=""),"",(IFERROR(INDEX(Raw_Financials!$G$2:$G$76, MATCH(1, (Raw_Financials!$A$2:$A$76="Power Grid")*(Raw_Financials!$B$2:$B$76="2023"),0)+1),""))-(IFERROR(INDEX(Raw_Financials!$H$2:$H$76, MATCH(1, (Raw_Financials!$A$2:$A$76="Power Grid")*(Raw_Financials!$B$2:$B$76="2023"),0)+1),"")))=""),"",(IFERROR(INDEX(Raw_Financials!$C$2:$C$76, MATCH(1, (Raw_Financials!$A$2:$A$76="Power Grid")*(Raw_Financials!$B$2:$B$76="2023"),0)+1),""))/(IF(OR(IFERROR(INDEX(Raw_Financials!$G$2:$G$76, MATCH(1, (Raw_Financials!$A$2:$A$76="Power Grid")*(Raw_Financials!$B$2:$B$76="2023"),0)+1),"")="",IFERROR(INDEX(Raw_Financials!$H$2:$H$76, MATCH(1, (Raw_Financials!$A$2:$A$76="Power Grid")*(Raw_Financials!$B$2:$B$76="2023"),0)+1),"")=""),"",(IFERROR(INDEX(Raw_Financials!$G$2:$G$76, MATCH(1, (Raw_Financials!$A$2:$A$76="Power Grid")*(Raw_Financials!$B$2:$B$76="2023"),0)+1),""))-(IFERROR(INDEX(Raw_Financials!$H$2:$H$76, MATCH(1, (Raw_Financials!$A$2:$A$76="Power Grid")*(Raw_Financials!$B$2:$B$76="2023"),0)+1),"")))))</f>
        <v>9.5428723027156224</v>
      </c>
      <c r="G45" cm="1">
        <f t="array" ref="G45">IF(OR(IFERROR(INDEX(Raw_Financials!$O$2:$O$76, MATCH(1, (Raw_Financials!$A$2:$A$76="Power Grid")*(Raw_Financials!$B$2:$B$76="2023"),0)+1),"")="",IFERROR(INDEX(Raw_Financials!$M$2:$M$76, MATCH(1, (Raw_Financials!$A$2:$A$76="Power Grid")*(Raw_Financials!$B$2:$B$76="2023"),0)+1),"")=""),"",(IFERROR(INDEX(Raw_Financials!$O$2:$O$76, MATCH(1, (Raw_Financials!$A$2:$A$76="Power Grid")*(Raw_Financials!$B$2:$B$76="2023"),0)+1),""))/(IFERROR(INDEX(Raw_Financials!$M$2:$M$76, MATCH(1, (Raw_Financials!$A$2:$A$76="Power Grid")*(Raw_Financials!$B$2:$B$76="2023"),0)+1),"")))</f>
        <v>2.1542049100536329</v>
      </c>
      <c r="H45" cm="1">
        <f t="array" ref="H45">IF(OR(IFERROR(INDEX(Raw_Financials!$M$2:$M$76, MATCH(1, (Raw_Financials!$A$2:$A$76="Power Grid")*(Raw_Financials!$B$2:$B$76="2023"),0)+1),"")="",IFERROR(INDEX(Raw_Financials!$L$2:$L$76, MATCH(1, (Raw_Financials!$A$2:$A$76="Power Grid")*(Raw_Financials!$B$2:$B$76="2023"),0)+1),"")=""),"",(IFERROR(INDEX(Raw_Financials!$M$2:$M$76, MATCH(1, (Raw_Financials!$A$2:$A$76="Power Grid")*(Raw_Financials!$B$2:$B$76="2023"),0)+1),""))/(IFERROR(INDEX(Raw_Financials!$L$2:$L$76, MATCH(1, (Raw_Financials!$A$2:$A$76="Power Grid")*(Raw_Financials!$B$2:$B$76="2023"),0)+1),"")))</f>
        <v>3.4307829870487176</v>
      </c>
      <c r="I45" cm="1">
        <f t="array" ref="I45">IF(OR(IFERROR(INDEX(Raw_Financials!$N$2:$N$76, MATCH(1, (Raw_Financials!$A$2:$A$76="Power Grid")*(Raw_Financials!$B$2:$B$76="2023"),0)+1),"")="",IFERROR(INDEX(Raw_Financials!$J$2:$J$76, MATCH(1, (Raw_Financials!$A$2:$A$76="Power Grid")*(Raw_Financials!$B$2:$B$76="2023"),0)+1),"")=""),"",(IFERROR(INDEX(Raw_Financials!$N$2:$N$76, MATCH(1, (Raw_Financials!$A$2:$A$76="Power Grid")*(Raw_Financials!$B$2:$B$76="2023"),0)+1),""))-(IFERROR(INDEX(Raw_Financials!$J$2:$J$76, MATCH(1, (Raw_Financials!$A$2:$A$76="Power Grid")*(Raw_Financials!$B$2:$B$76="2023"),0)+1),"")))</f>
        <v>28312.329999999998</v>
      </c>
      <c r="J45" cm="1">
        <f t="array" ref="J45">IF(OR(IFERROR(INDEX(Raw_Financials!$M$2:$M$76, MATCH(1, (Raw_Financials!$A$2:$A$76="Power Grid")*(Raw_Financials!$B$2:$B$76="2023"),0)+1),"")="",IFERROR(INDEX(Raw_Financials!$C$2:$C$76, MATCH(1, (Raw_Financials!$A$2:$A$76="Power Grid")*(Raw_Financials!$B$2:$B$76="2023"),0)+1),"")=""),"",(IFERROR(INDEX(Raw_Financials!$M$2:$M$76, MATCH(1, (Raw_Financials!$A$2:$A$76="Power Grid")*(Raw_Financials!$B$2:$B$76="2023"),0)+1),""))/(IFERROR(INDEX(Raw_Financials!$C$2:$C$76, MATCH(1, (Raw_Financials!$A$2:$A$76="Power Grid")*(Raw_Financials!$B$2:$B$76="2023"),0)+1),"")))</f>
        <v>0.31462493493726412</v>
      </c>
      <c r="K45" cm="1">
        <f t="array" ref="K45">IF(OR(IFERROR(INDEX(Raw_ESG!$C$2:$C$76, MATCH(1, (Raw_ESG!$A$2:$A$76="Power Grid")*(Raw_ESG!$B$2:$B$76="2023"),0)+1),"")="",IFERROR(INDEX(Raw_Financials!$J$2:$J$76, MATCH(1, (Raw_Financials!$A$2:$A$76="Power Grid")*(Raw_Financials!$B$2:$B$76="2023"),0)+1),"")=""),"",(IFERROR(INDEX(Raw_ESG!$C$2:$C$76, MATCH(1, (Raw_ESG!$A$2:$A$76="Power Grid")*(Raw_ESG!$B$2:$B$76="2023"),0)+1),""))/(IFERROR(INDEX(Raw_Financials!$J$2:$J$76, MATCH(1, (Raw_Financials!$A$2:$A$76="Power Grid")*(Raw_Financials!$B$2:$B$76="2023"),0)+1),"")))</f>
        <v>0.57424082121326325</v>
      </c>
      <c r="L45" cm="1">
        <f t="array" ref="L45">IF(OR(IFERROR(INDEX(Raw_ESG!$D$2:$D$76, MATCH(1, (Raw_ESG!$A$2:$A$76="Power Grid")*(Raw_ESG!$B$2:$B$76="2023"),0)+1),"")="",IFERROR(INDEX(Raw_Financials!$E$2:$E$76, MATCH(1, (Raw_Financials!$A$2:$A$76="Power Grid")*(Raw_Financials!$B$2:$B$76="2023"),0)+1),"")=""),"",(IFERROR(INDEX(Raw_ESG!$D$2:$D$76, MATCH(1, (Raw_ESG!$A$2:$A$76="Power Grid")*(Raw_ESG!$B$2:$B$76="2023"),0)+1),""))/(IFERROR(INDEX(Raw_Financials!$E$2:$E$76, MATCH(1, (Raw_Financials!$A$2:$A$76="Power Grid")*(Raw_Financials!$B$2:$B$76="2023"),0)+1),"")))</f>
        <v>0.12532292590980851</v>
      </c>
      <c r="M45" cm="1">
        <f t="array" ref="M45">IF(OR(IFERROR(INDEX(Raw_ESG!$E$2:$E$76, MATCH(1, (Raw_ESG!$A$2:$A$76="Power Grid")*(Raw_ESG!$B$2:$B$76="2023"),0)+1),"")="",IFERROR(INDEX(Raw_ESG!$F$2:$F$76, MATCH(1, (Raw_ESG!$A$2:$A$76="Power Grid")*(Raw_ESG!$B$2:$B$76="2023"),0)+1),"")=""),"",(IFERROR(INDEX(Raw_ESG!$E$2:$E$76, MATCH(1, (Raw_ESG!$A$2:$A$76="Power Grid")*(Raw_ESG!$B$2:$B$76="2023"),0)+1),""))+(IFERROR(INDEX(Raw_ESG!$F$2:$F$76, MATCH(1, (Raw_ESG!$A$2:$A$76="Power Grid")*(Raw_ESG!$B$2:$B$76="2023"),0)+1),"")))</f>
        <v>123582.56999999999</v>
      </c>
      <c r="N45" cm="1">
        <f t="array" ref="N45">IFERROR(INDEX(Raw_ESG!$G$2:$G$76, MATCH(1, (Raw_ESG!$A$2:$A$76="Power Grid")*(Raw_ESG!$B$2:$B$76="2023"),0)+1),"")</f>
        <v>59.93</v>
      </c>
    </row>
    <row r="46" spans="1:14" x14ac:dyDescent="0.35">
      <c r="A46" t="s">
        <v>10</v>
      </c>
      <c r="B46" t="s">
        <v>37</v>
      </c>
      <c r="C46" cm="1">
        <f t="array" ref="C46">IF(OR(IFERROR(INDEX(Raw_Financials!$E$2:$E$76, MATCH(1, (Raw_Financials!$A$2:$A$76="Power Grid")*(Raw_Financials!$B$2:$B$76="2024"),0)+1),"")="",IFERROR(INDEX(Raw_Financials!$D$2:$D$76, MATCH(1, (Raw_Financials!$A$2:$A$76="Power Grid")*(Raw_Financials!$B$2:$B$76="2024"),0)+1),"")=""),"",(IFERROR(INDEX(Raw_Financials!$D$2:$D$76, MATCH(1, (Raw_Financials!$A$2:$A$76="Power Grid")*(Raw_Financials!$B$2:$B$76="2024"),0)+1),""))/(IFERROR(INDEX(Raw_Financials!$E$2:$E$76, MATCH(1, (Raw_Financials!$A$2:$A$76="Power Grid")*(Raw_Financials!$B$2:$B$76="2024"),0)+1),"")))</f>
        <v>3.6355586206363998E-2</v>
      </c>
      <c r="D46" cm="1">
        <f t="array" ref="D46">IF(OR(IFERROR(INDEX(Raw_Financials!$E$2:$E$76, MATCH(1, (Raw_Financials!$A$2:$A$76="Power Grid")*(Raw_Financials!$B$2:$B$76="2024"),0)+1),"")="",IFERROR(INDEX(Raw_Financials!$C$2:$C$76, MATCH(1, (Raw_Financials!$A$2:$A$76="Power Grid")*(Raw_Financials!$B$2:$B$76="2024"),0)+1),"")=""),"",(IFERROR(INDEX(Raw_Financials!$C$2:$C$76, MATCH(1, (Raw_Financials!$A$2:$A$76="Power Grid")*(Raw_Financials!$B$2:$B$76="2024"),0)+1),""))/(IFERROR(INDEX(Raw_Financials!$E$2:$E$76, MATCH(1, (Raw_Financials!$A$2:$A$76="Power Grid")*(Raw_Financials!$B$2:$B$76="2024"),0)+1),"")))</f>
        <v>0.55034038881085101</v>
      </c>
      <c r="E46" cm="1">
        <f t="array" ref="E46">IF(OR(IFERROR(INDEX(Raw_Financials!$G$2:$G$76, MATCH(1, (Raw_Financials!$A$2:$A$76="Power Grid")*(Raw_Financials!$B$2:$B$76="2024"),0)+1),"")="",IFERROR(INDEX(Raw_Financials!$H$2:$H$76, MATCH(1, (Raw_Financials!$A$2:$A$76="Power Grid")*(Raw_Financials!$B$2:$B$76="2024"),0)+1),"")=""),"",(IFERROR(INDEX(Raw_Financials!$G$2:$G$76, MATCH(1, (Raw_Financials!$A$2:$A$76="Power Grid")*(Raw_Financials!$B$2:$B$76="2024"),0)+1),""))-(IFERROR(INDEX(Raw_Financials!$H$2:$H$76, MATCH(1, (Raw_Financials!$A$2:$A$76="Power Grid")*(Raw_Financials!$B$2:$B$76="2024"),0)+1),"")))</f>
        <v>15108.129999999997</v>
      </c>
      <c r="F46" cm="1">
        <f t="array" ref="F46">IF(OR(IFERROR(INDEX(Raw_Financials!$C$2:$C$76, MATCH(1, (Raw_Financials!$A$2:$A$76="Power Grid")*(Raw_Financials!$B$2:$B$76="2024"),0)+1),"")="",IF(OR(IFERROR(INDEX(Raw_Financials!$G$2:$G$76, MATCH(1, (Raw_Financials!$A$2:$A$76="Power Grid")*(Raw_Financials!$B$2:$B$76="2024"),0)+1),"")="",IFERROR(INDEX(Raw_Financials!$H$2:$H$76, MATCH(1, (Raw_Financials!$A$2:$A$76="Power Grid")*(Raw_Financials!$B$2:$B$76="2024"),0)+1),"")=""),"",(IFERROR(INDEX(Raw_Financials!$G$2:$G$76, MATCH(1, (Raw_Financials!$A$2:$A$76="Power Grid")*(Raw_Financials!$B$2:$B$76="2024"),0)+1),""))-(IFERROR(INDEX(Raw_Financials!$H$2:$H$76, MATCH(1, (Raw_Financials!$A$2:$A$76="Power Grid")*(Raw_Financials!$B$2:$B$76="2024"),0)+1),"")))=""),"",(IFERROR(INDEX(Raw_Financials!$C$2:$C$76, MATCH(1, (Raw_Financials!$A$2:$A$76="Power Grid")*(Raw_Financials!$B$2:$B$76="2024"),0)+1),""))/(IF(OR(IFERROR(INDEX(Raw_Financials!$G$2:$G$76, MATCH(1, (Raw_Financials!$A$2:$A$76="Power Grid")*(Raw_Financials!$B$2:$B$76="2024"),0)+1),"")="",IFERROR(INDEX(Raw_Financials!$H$2:$H$76, MATCH(1, (Raw_Financials!$A$2:$A$76="Power Grid")*(Raw_Financials!$B$2:$B$76="2024"),0)+1),"")=""),"",(IFERROR(INDEX(Raw_Financials!$G$2:$G$76, MATCH(1, (Raw_Financials!$A$2:$A$76="Power Grid")*(Raw_Financials!$B$2:$B$76="2024"),0)+1),""))-(IFERROR(INDEX(Raw_Financials!$H$2:$H$76, MATCH(1, (Raw_Financials!$A$2:$A$76="Power Grid")*(Raw_Financials!$B$2:$B$76="2024"),0)+1),"")))))</f>
        <v>4.9058970236554762</v>
      </c>
      <c r="G46" cm="1">
        <f t="array" ref="G46">IF(OR(IFERROR(INDEX(Raw_Financials!$O$2:$O$76, MATCH(1, (Raw_Financials!$A$2:$A$76="Power Grid")*(Raw_Financials!$B$2:$B$76="2024"),0)+1),"")="",IFERROR(INDEX(Raw_Financials!$M$2:$M$76, MATCH(1, (Raw_Financials!$A$2:$A$76="Power Grid")*(Raw_Financials!$B$2:$B$76="2024"),0)+1),"")=""),"",(IFERROR(INDEX(Raw_Financials!$O$2:$O$76, MATCH(1, (Raw_Financials!$A$2:$A$76="Power Grid")*(Raw_Financials!$B$2:$B$76="2024"),0)+1),""))/(IFERROR(INDEX(Raw_Financials!$M$2:$M$76, MATCH(1, (Raw_Financials!$A$2:$A$76="Power Grid")*(Raw_Financials!$B$2:$B$76="2024"),0)+1),"")))</f>
        <v>1.8452079605360898</v>
      </c>
      <c r="H46" cm="1">
        <f t="array" ref="H46">IF(OR(IFERROR(INDEX(Raw_Financials!$M$2:$M$76, MATCH(1, (Raw_Financials!$A$2:$A$76="Power Grid")*(Raw_Financials!$B$2:$B$76="2024"),0)+1),"")="",IFERROR(INDEX(Raw_Financials!$L$2:$L$76, MATCH(1, (Raw_Financials!$A$2:$A$76="Power Grid")*(Raw_Financials!$B$2:$B$76="2024"),0)+1),"")=""),"",(IFERROR(INDEX(Raw_Financials!$M$2:$M$76, MATCH(1, (Raw_Financials!$A$2:$A$76="Power Grid")*(Raw_Financials!$B$2:$B$76="2024"),0)+1),""))/(IFERROR(INDEX(Raw_Financials!$L$2:$L$76, MATCH(1, (Raw_Financials!$A$2:$A$76="Power Grid")*(Raw_Financials!$B$2:$B$76="2024"),0)+1),"")))</f>
        <v>2.9572708650488044</v>
      </c>
      <c r="I46" cm="1">
        <f t="array" ref="I46">IF(OR(IFERROR(INDEX(Raw_Financials!$N$2:$N$76, MATCH(1, (Raw_Financials!$A$2:$A$76="Power Grid")*(Raw_Financials!$B$2:$B$76="2024"),0)+1),"")="",IFERROR(INDEX(Raw_Financials!$J$2:$J$76, MATCH(1, (Raw_Financials!$A$2:$A$76="Power Grid")*(Raw_Financials!$B$2:$B$76="2024"),0)+1),"")=""),"",(IFERROR(INDEX(Raw_Financials!$N$2:$N$76, MATCH(1, (Raw_Financials!$A$2:$A$76="Power Grid")*(Raw_Financials!$B$2:$B$76="2024"),0)+1),""))-(IFERROR(INDEX(Raw_Financials!$J$2:$J$76, MATCH(1, (Raw_Financials!$A$2:$A$76="Power Grid")*(Raw_Financials!$B$2:$B$76="2024"),0)+1),"")))</f>
        <v>20081.439999999999</v>
      </c>
      <c r="J46" cm="1">
        <f t="array" ref="J46">IF(OR(IFERROR(INDEX(Raw_Financials!$M$2:$M$76, MATCH(1, (Raw_Financials!$A$2:$A$76="Power Grid")*(Raw_Financials!$B$2:$B$76="2024"),0)+1),"")="",IFERROR(INDEX(Raw_Financials!$C$2:$C$76, MATCH(1, (Raw_Financials!$A$2:$A$76="Power Grid")*(Raw_Financials!$B$2:$B$76="2024"),0)+1),"")=""),"",(IFERROR(INDEX(Raw_Financials!$M$2:$M$76, MATCH(1, (Raw_Financials!$A$2:$A$76="Power Grid")*(Raw_Financials!$B$2:$B$76="2024"),0)+1),""))/(IFERROR(INDEX(Raw_Financials!$C$2:$C$76, MATCH(1, (Raw_Financials!$A$2:$A$76="Power Grid")*(Raw_Financials!$B$2:$B$76="2024"),0)+1),"")))</f>
        <v>0.28515333397284609</v>
      </c>
      <c r="K46" cm="1">
        <f t="array" ref="K46">IF(OR(IFERROR(INDEX(Raw_ESG!$C$2:$C$76, MATCH(1, (Raw_ESG!$A$2:$A$76="Power Grid")*(Raw_ESG!$B$2:$B$76="2024"),0)+1),"")="",IFERROR(INDEX(Raw_Financials!$J$2:$J$76, MATCH(1, (Raw_Financials!$A$2:$A$76="Power Grid")*(Raw_Financials!$B$2:$B$76="2024"),0)+1),"")=""),"",(IFERROR(INDEX(Raw_ESG!$C$2:$C$76, MATCH(1, (Raw_ESG!$A$2:$A$76="Power Grid")*(Raw_ESG!$B$2:$B$76="2024"),0)+1),""))/(IFERROR(INDEX(Raw_Financials!$J$2:$J$76, MATCH(1, (Raw_Financials!$A$2:$A$76="Power Grid")*(Raw_Financials!$B$2:$B$76="2024"),0)+1),"")))</f>
        <v>0.86640542087501926</v>
      </c>
      <c r="L46" cm="1">
        <f t="array" ref="L46">IF(OR(IFERROR(INDEX(Raw_ESG!$D$2:$D$76, MATCH(1, (Raw_ESG!$A$2:$A$76="Power Grid")*(Raw_ESG!$B$2:$B$76="2024"),0)+1),"")="",IFERROR(INDEX(Raw_Financials!$E$2:$E$76, MATCH(1, (Raw_Financials!$A$2:$A$76="Power Grid")*(Raw_Financials!$B$2:$B$76="2024"),0)+1),"")=""),"",(IFERROR(INDEX(Raw_ESG!$D$2:$D$76, MATCH(1, (Raw_ESG!$A$2:$A$76="Power Grid")*(Raw_ESG!$B$2:$B$76="2024"),0)+1),""))/(IFERROR(INDEX(Raw_Financials!$E$2:$E$76, MATCH(1, (Raw_Financials!$A$2:$A$76="Power Grid")*(Raw_Financials!$B$2:$B$76="2024"),0)+1),"")))</f>
        <v>0.19415742724479676</v>
      </c>
      <c r="M46" cm="1">
        <f t="array" ref="M46">IF(OR(IFERROR(INDEX(Raw_ESG!$E$2:$E$76, MATCH(1, (Raw_ESG!$A$2:$A$76="Power Grid")*(Raw_ESG!$B$2:$B$76="2024"),0)+1),"")="",IFERROR(INDEX(Raw_ESG!$F$2:$F$76, MATCH(1, (Raw_ESG!$A$2:$A$76="Power Grid")*(Raw_ESG!$B$2:$B$76="2024"),0)+1),"")=""),"",(IFERROR(INDEX(Raw_ESG!$E$2:$E$76, MATCH(1, (Raw_ESG!$A$2:$A$76="Power Grid")*(Raw_ESG!$B$2:$B$76="2024"),0)+1),""))+(IFERROR(INDEX(Raw_ESG!$F$2:$F$76, MATCH(1, (Raw_ESG!$A$2:$A$76="Power Grid")*(Raw_ESG!$B$2:$B$76="2024"),0)+1),"")))</f>
        <v>150389.02000000002</v>
      </c>
      <c r="N46" cm="1">
        <f t="array" ref="N46">IFERROR(INDEX(Raw_ESG!$G$2:$G$76, MATCH(1, (Raw_ESG!$A$2:$A$76="Power Grid")*(Raw_ESG!$B$2:$B$76="2024"),0)+1),"")</f>
        <v>70.790000000000006</v>
      </c>
    </row>
    <row r="47" spans="1:14" x14ac:dyDescent="0.35">
      <c r="A47" t="s">
        <v>11</v>
      </c>
      <c r="B47" t="s">
        <v>33</v>
      </c>
      <c r="C47" cm="1">
        <f t="array" ref="C47">IF(OR(IFERROR(INDEX(Raw_Financials!$E$2:$E$76, MATCH(1, (Raw_Financials!$A$2:$A$76="Indian Oil")*(Raw_Financials!$B$2:$B$76="2020"),0)+1),"")="",IFERROR(INDEX(Raw_Financials!$D$2:$D$76, MATCH(1, (Raw_Financials!$A$2:$A$76="Indian Oil")*(Raw_Financials!$B$2:$B$76="2020"),0)+1),"")=""),"",(IFERROR(INDEX(Raw_Financials!$D$2:$D$76, MATCH(1, (Raw_Financials!$A$2:$A$76="Indian Oil")*(Raw_Financials!$B$2:$B$76="2020"),0)+1),""))/(IFERROR(INDEX(Raw_Financials!$E$2:$E$76, MATCH(1, (Raw_Financials!$A$2:$A$76="Indian Oil")*(Raw_Financials!$B$2:$B$76="2020"),0)+1),"")))</f>
        <v>4.8983813585092018E-2</v>
      </c>
      <c r="D47" cm="1">
        <f t="array" ref="D47">IF(OR(IFERROR(INDEX(Raw_Financials!$E$2:$E$76, MATCH(1, (Raw_Financials!$A$2:$A$76="Indian Oil")*(Raw_Financials!$B$2:$B$76="2020"),0)+1),"")="",IFERROR(INDEX(Raw_Financials!$C$2:$C$76, MATCH(1, (Raw_Financials!$A$2:$A$76="Indian Oil")*(Raw_Financials!$B$2:$B$76="2020"),0)+1),"")=""),"",(IFERROR(INDEX(Raw_Financials!$C$2:$C$76, MATCH(1, (Raw_Financials!$A$2:$A$76="Indian Oil")*(Raw_Financials!$B$2:$B$76="2020"),0)+1),""))/(IFERROR(INDEX(Raw_Financials!$E$2:$E$76, MATCH(1, (Raw_Financials!$A$2:$A$76="Indian Oil")*(Raw_Financials!$B$2:$B$76="2020"),0)+1),"")))</f>
        <v>0.2724860058345302</v>
      </c>
      <c r="E47" cm="1">
        <f t="array" ref="E47">IF(OR(IFERROR(INDEX(Raw_Financials!$G$2:$G$76, MATCH(1, (Raw_Financials!$A$2:$A$76="Indian Oil")*(Raw_Financials!$B$2:$B$76="2020"),0)+1),"")="",IFERROR(INDEX(Raw_Financials!$H$2:$H$76, MATCH(1, (Raw_Financials!$A$2:$A$76="Indian Oil")*(Raw_Financials!$B$2:$B$76="2020"),0)+1),"")=""),"",(IFERROR(INDEX(Raw_Financials!$G$2:$G$76, MATCH(1, (Raw_Financials!$A$2:$A$76="Indian Oil")*(Raw_Financials!$B$2:$B$76="2020"),0)+1),""))-(IFERROR(INDEX(Raw_Financials!$H$2:$H$76, MATCH(1, (Raw_Financials!$A$2:$A$76="Indian Oil")*(Raw_Financials!$B$2:$B$76="2020"),0)+1),"")))</f>
        <v>-8725.1299999999974</v>
      </c>
      <c r="F47" cm="1">
        <f t="array" ref="F47">IF(OR(IFERROR(INDEX(Raw_Financials!$C$2:$C$76, MATCH(1, (Raw_Financials!$A$2:$A$76="Indian Oil")*(Raw_Financials!$B$2:$B$76="2020"),0)+1),"")="",IF(OR(IFERROR(INDEX(Raw_Financials!$G$2:$G$76, MATCH(1, (Raw_Financials!$A$2:$A$76="Indian Oil")*(Raw_Financials!$B$2:$B$76="2020"),0)+1),"")="",IFERROR(INDEX(Raw_Financials!$H$2:$H$76, MATCH(1, (Raw_Financials!$A$2:$A$76="Indian Oil")*(Raw_Financials!$B$2:$B$76="2020"),0)+1),"")=""),"",(IFERROR(INDEX(Raw_Financials!$G$2:$G$76, MATCH(1, (Raw_Financials!$A$2:$A$76="Indian Oil")*(Raw_Financials!$B$2:$B$76="2020"),0)+1),""))-(IFERROR(INDEX(Raw_Financials!$H$2:$H$76, MATCH(1, (Raw_Financials!$A$2:$A$76="Indian Oil")*(Raw_Financials!$B$2:$B$76="2020"),0)+1),"")))=""),"",(IFERROR(INDEX(Raw_Financials!$C$2:$C$76, MATCH(1, (Raw_Financials!$A$2:$A$76="Indian Oil")*(Raw_Financials!$B$2:$B$76="2020"),0)+1),""))/(IF(OR(IFERROR(INDEX(Raw_Financials!$G$2:$G$76, MATCH(1, (Raw_Financials!$A$2:$A$76="Indian Oil")*(Raw_Financials!$B$2:$B$76="2020"),0)+1),"")="",IFERROR(INDEX(Raw_Financials!$H$2:$H$76, MATCH(1, (Raw_Financials!$A$2:$A$76="Indian Oil")*(Raw_Financials!$B$2:$B$76="2020"),0)+1),"")=""),"",(IFERROR(INDEX(Raw_Financials!$G$2:$G$76, MATCH(1, (Raw_Financials!$A$2:$A$76="Indian Oil")*(Raw_Financials!$B$2:$B$76="2020"),0)+1),""))-(IFERROR(INDEX(Raw_Financials!$H$2:$H$76, MATCH(1, (Raw_Financials!$A$2:$A$76="Indian Oil")*(Raw_Financials!$B$2:$B$76="2020"),0)+1),"")))))</f>
        <v>-4.72015431288703</v>
      </c>
      <c r="G47" cm="1">
        <f t="array" ref="G47">IF(OR(IFERROR(INDEX(Raw_Financials!$O$2:$O$76, MATCH(1, (Raw_Financials!$A$2:$A$76="Indian Oil")*(Raw_Financials!$B$2:$B$76="2020"),0)+1),"")="",IFERROR(INDEX(Raw_Financials!$M$2:$M$76, MATCH(1, (Raw_Financials!$A$2:$A$76="Indian Oil")*(Raw_Financials!$B$2:$B$76="2020"),0)+1),"")=""),"",(IFERROR(INDEX(Raw_Financials!$O$2:$O$76, MATCH(1, (Raw_Financials!$A$2:$A$76="Indian Oil")*(Raw_Financials!$B$2:$B$76="2020"),0)+1),""))/(IFERROR(INDEX(Raw_Financials!$M$2:$M$76, MATCH(1, (Raw_Financials!$A$2:$A$76="Indian Oil")*(Raw_Financials!$B$2:$B$76="2020"),0)+1),"")))</f>
        <v>2.0255004529873681</v>
      </c>
      <c r="H47" cm="1">
        <f t="array" ref="H47">IF(OR(IFERROR(INDEX(Raw_Financials!$M$2:$M$76, MATCH(1, (Raw_Financials!$A$2:$A$76="Indian Oil")*(Raw_Financials!$B$2:$B$76="2020"),0)+1),"")="",IFERROR(INDEX(Raw_Financials!$L$2:$L$76, MATCH(1, (Raw_Financials!$A$2:$A$76="Indian Oil")*(Raw_Financials!$B$2:$B$76="2020"),0)+1),"")=""),"",(IFERROR(INDEX(Raw_Financials!$M$2:$M$76, MATCH(1, (Raw_Financials!$A$2:$A$76="Indian Oil")*(Raw_Financials!$B$2:$B$76="2020"),0)+1),""))/(IFERROR(INDEX(Raw_Financials!$L$2:$L$76, MATCH(1, (Raw_Financials!$A$2:$A$76="Indian Oil")*(Raw_Financials!$B$2:$B$76="2020"),0)+1),"")))</f>
        <v>4.2097539596795563</v>
      </c>
      <c r="I47" cm="1">
        <f t="array" ref="I47">IF(OR(IFERROR(INDEX(Raw_Financials!$N$2:$N$76, MATCH(1, (Raw_Financials!$A$2:$A$76="Indian Oil")*(Raw_Financials!$B$2:$B$76="2020"),0)+1),"")="",IFERROR(INDEX(Raw_Financials!$J$2:$J$76, MATCH(1, (Raw_Financials!$A$2:$A$76="Indian Oil")*(Raw_Financials!$B$2:$B$76="2020"),0)+1),"")=""),"",(IFERROR(INDEX(Raw_Financials!$N$2:$N$76, MATCH(1, (Raw_Financials!$A$2:$A$76="Indian Oil")*(Raw_Financials!$B$2:$B$76="2020"),0)+1),""))-(IFERROR(INDEX(Raw_Financials!$J$2:$J$76, MATCH(1, (Raw_Financials!$A$2:$A$76="Indian Oil")*(Raw_Financials!$B$2:$B$76="2020"),0)+1),"")))</f>
        <v>2983.2100000000009</v>
      </c>
      <c r="J47" cm="1">
        <f t="array" ref="J47">IF(OR(IFERROR(INDEX(Raw_Financials!$M$2:$M$76, MATCH(1, (Raw_Financials!$A$2:$A$76="Indian Oil")*(Raw_Financials!$B$2:$B$76="2020"),0)+1),"")="",IFERROR(INDEX(Raw_Financials!$C$2:$C$76, MATCH(1, (Raw_Financials!$A$2:$A$76="Indian Oil")*(Raw_Financials!$B$2:$B$76="2020"),0)+1),"")=""),"",(IFERROR(INDEX(Raw_Financials!$M$2:$M$76, MATCH(1, (Raw_Financials!$A$2:$A$76="Indian Oil")*(Raw_Financials!$B$2:$B$76="2020"),0)+1),""))/(IFERROR(INDEX(Raw_Financials!$C$2:$C$76, MATCH(1, (Raw_Financials!$A$2:$A$76="Indian Oil")*(Raw_Financials!$B$2:$B$76="2020"),0)+1),"")))</f>
        <v>0.50145226442527624</v>
      </c>
      <c r="K47" cm="1">
        <f t="array" ref="K47">IF(OR(IFERROR(INDEX(Raw_ESG!$C$2:$C$76, MATCH(1, (Raw_ESG!$A$2:$A$76="Indian Oil")*(Raw_ESG!$B$2:$B$76="2020"),0)+1),"")="",IFERROR(INDEX(Raw_Financials!$J$2:$J$76, MATCH(1, (Raw_Financials!$A$2:$A$76="Indian Oil")*(Raw_Financials!$B$2:$B$76="2020"),0)+1),"")=""),"",(IFERROR(INDEX(Raw_ESG!$C$2:$C$76, MATCH(1, (Raw_ESG!$A$2:$A$76="Indian Oil")*(Raw_ESG!$B$2:$B$76="2020"),0)+1),""))/(IFERROR(INDEX(Raw_Financials!$J$2:$J$76, MATCH(1, (Raw_Financials!$A$2:$A$76="Indian Oil")*(Raw_Financials!$B$2:$B$76="2020"),0)+1),"")))</f>
        <v>0.37536231615980942</v>
      </c>
      <c r="L47" cm="1">
        <f t="array" ref="L47">IF(OR(IFERROR(INDEX(Raw_ESG!$D$2:$D$76, MATCH(1, (Raw_ESG!$A$2:$A$76="Indian Oil")*(Raw_ESG!$B$2:$B$76="2020"),0)+1),"")="",IFERROR(INDEX(Raw_Financials!$E$2:$E$76, MATCH(1, (Raw_Financials!$A$2:$A$76="Indian Oil")*(Raw_Financials!$B$2:$B$76="2020"),0)+1),"")=""),"",(IFERROR(INDEX(Raw_ESG!$D$2:$D$76, MATCH(1, (Raw_ESG!$A$2:$A$76="Indian Oil")*(Raw_ESG!$B$2:$B$76="2020"),0)+1),""))/(IFERROR(INDEX(Raw_Financials!$E$2:$E$76, MATCH(1, (Raw_Financials!$A$2:$A$76="Indian Oil")*(Raw_Financials!$B$2:$B$76="2020"),0)+1),"")))</f>
        <v>0.1847395911488541</v>
      </c>
      <c r="M47" cm="1">
        <f t="array" ref="M47">IF(OR(IFERROR(INDEX(Raw_ESG!$E$2:$E$76, MATCH(1, (Raw_ESG!$A$2:$A$76="Indian Oil")*(Raw_ESG!$B$2:$B$76="2020"),0)+1),"")="",IFERROR(INDEX(Raw_ESG!$F$2:$F$76, MATCH(1, (Raw_ESG!$A$2:$A$76="Indian Oil")*(Raw_ESG!$B$2:$B$76="2020"),0)+1),"")=""),"",(IFERROR(INDEX(Raw_ESG!$E$2:$E$76, MATCH(1, (Raw_ESG!$A$2:$A$76="Indian Oil")*(Raw_ESG!$B$2:$B$76="2020"),0)+1),""))+(IFERROR(INDEX(Raw_ESG!$F$2:$F$76, MATCH(1, (Raw_ESG!$A$2:$A$76="Indian Oil")*(Raw_ESG!$B$2:$B$76="2020"),0)+1),"")))</f>
        <v>188101.24</v>
      </c>
      <c r="N47" cm="1">
        <f t="array" ref="N47">IFERROR(INDEX(Raw_ESG!$G$2:$G$76, MATCH(1, (Raw_ESG!$A$2:$A$76="Indian Oil")*(Raw_ESG!$B$2:$B$76="2020"),0)+1),"")</f>
        <v>71.75</v>
      </c>
    </row>
    <row r="48" spans="1:14" x14ac:dyDescent="0.35">
      <c r="A48" t="s">
        <v>11</v>
      </c>
      <c r="B48" t="s">
        <v>34</v>
      </c>
      <c r="C48" cm="1">
        <f t="array" ref="C48">IF(OR(IFERROR(INDEX(Raw_Financials!$E$2:$E$76, MATCH(1, (Raw_Financials!$A$2:$A$76="Indian Oil")*(Raw_Financials!$B$2:$B$76="2021"),0)+1),"")="",IFERROR(INDEX(Raw_Financials!$D$2:$D$76, MATCH(1, (Raw_Financials!$A$2:$A$76="Indian Oil")*(Raw_Financials!$B$2:$B$76="2021"),0)+1),"")=""),"",(IFERROR(INDEX(Raw_Financials!$D$2:$D$76, MATCH(1, (Raw_Financials!$A$2:$A$76="Indian Oil")*(Raw_Financials!$B$2:$B$76="2021"),0)+1),""))/(IFERROR(INDEX(Raw_Financials!$E$2:$E$76, MATCH(1, (Raw_Financials!$A$2:$A$76="Indian Oil")*(Raw_Financials!$B$2:$B$76="2021"),0)+1),"")))</f>
        <v>3.3483259489955196E-2</v>
      </c>
      <c r="D48" cm="1">
        <f t="array" ref="D48">IF(OR(IFERROR(INDEX(Raw_Financials!$E$2:$E$76, MATCH(1, (Raw_Financials!$A$2:$A$76="Indian Oil")*(Raw_Financials!$B$2:$B$76="2021"),0)+1),"")="",IFERROR(INDEX(Raw_Financials!$C$2:$C$76, MATCH(1, (Raw_Financials!$A$2:$A$76="Indian Oil")*(Raw_Financials!$B$2:$B$76="2021"),0)+1),"")=""),"",(IFERROR(INDEX(Raw_Financials!$C$2:$C$76, MATCH(1, (Raw_Financials!$A$2:$A$76="Indian Oil")*(Raw_Financials!$B$2:$B$76="2021"),0)+1),""))/(IFERROR(INDEX(Raw_Financials!$E$2:$E$76, MATCH(1, (Raw_Financials!$A$2:$A$76="Indian Oil")*(Raw_Financials!$B$2:$B$76="2021"),0)+1),"")))</f>
        <v>0.37916106668135163</v>
      </c>
      <c r="E48" cm="1">
        <f t="array" ref="E48">IF(OR(IFERROR(INDEX(Raw_Financials!$G$2:$G$76, MATCH(1, (Raw_Financials!$A$2:$A$76="Indian Oil")*(Raw_Financials!$B$2:$B$76="2021"),0)+1),"")="",IFERROR(INDEX(Raw_Financials!$H$2:$H$76, MATCH(1, (Raw_Financials!$A$2:$A$76="Indian Oil")*(Raw_Financials!$B$2:$B$76="2021"),0)+1),"")=""),"",(IFERROR(INDEX(Raw_Financials!$G$2:$G$76, MATCH(1, (Raw_Financials!$A$2:$A$76="Indian Oil")*(Raw_Financials!$B$2:$B$76="2021"),0)+1),""))-(IFERROR(INDEX(Raw_Financials!$H$2:$H$76, MATCH(1, (Raw_Financials!$A$2:$A$76="Indian Oil")*(Raw_Financials!$B$2:$B$76="2021"),0)+1),"")))</f>
        <v>9453.2700000000041</v>
      </c>
      <c r="F48" cm="1">
        <f t="array" ref="F48">IF(OR(IFERROR(INDEX(Raw_Financials!$C$2:$C$76, MATCH(1, (Raw_Financials!$A$2:$A$76="Indian Oil")*(Raw_Financials!$B$2:$B$76="2021"),0)+1),"")="",IF(OR(IFERROR(INDEX(Raw_Financials!$G$2:$G$76, MATCH(1, (Raw_Financials!$A$2:$A$76="Indian Oil")*(Raw_Financials!$B$2:$B$76="2021"),0)+1),"")="",IFERROR(INDEX(Raw_Financials!$H$2:$H$76, MATCH(1, (Raw_Financials!$A$2:$A$76="Indian Oil")*(Raw_Financials!$B$2:$B$76="2021"),0)+1),"")=""),"",(IFERROR(INDEX(Raw_Financials!$G$2:$G$76, MATCH(1, (Raw_Financials!$A$2:$A$76="Indian Oil")*(Raw_Financials!$B$2:$B$76="2021"),0)+1),""))-(IFERROR(INDEX(Raw_Financials!$H$2:$H$76, MATCH(1, (Raw_Financials!$A$2:$A$76="Indian Oil")*(Raw_Financials!$B$2:$B$76="2021"),0)+1),"")))=""),"",(IFERROR(INDEX(Raw_Financials!$C$2:$C$76, MATCH(1, (Raw_Financials!$A$2:$A$76="Indian Oil")*(Raw_Financials!$B$2:$B$76="2021"),0)+1),""))/(IF(OR(IFERROR(INDEX(Raw_Financials!$G$2:$G$76, MATCH(1, (Raw_Financials!$A$2:$A$76="Indian Oil")*(Raw_Financials!$B$2:$B$76="2021"),0)+1),"")="",IFERROR(INDEX(Raw_Financials!$H$2:$H$76, MATCH(1, (Raw_Financials!$A$2:$A$76="Indian Oil")*(Raw_Financials!$B$2:$B$76="2021"),0)+1),"")=""),"",(IFERROR(INDEX(Raw_Financials!$G$2:$G$76, MATCH(1, (Raw_Financials!$A$2:$A$76="Indian Oil")*(Raw_Financials!$B$2:$B$76="2021"),0)+1),""))-(IFERROR(INDEX(Raw_Financials!$H$2:$H$76, MATCH(1, (Raw_Financials!$A$2:$A$76="Indian Oil")*(Raw_Financials!$B$2:$B$76="2021"),0)+1),"")))))</f>
        <v>7.8806603429289508</v>
      </c>
      <c r="G48" cm="1">
        <f t="array" ref="G48">IF(OR(IFERROR(INDEX(Raw_Financials!$O$2:$O$76, MATCH(1, (Raw_Financials!$A$2:$A$76="Indian Oil")*(Raw_Financials!$B$2:$B$76="2021"),0)+1),"")="",IFERROR(INDEX(Raw_Financials!$M$2:$M$76, MATCH(1, (Raw_Financials!$A$2:$A$76="Indian Oil")*(Raw_Financials!$B$2:$B$76="2021"),0)+1),"")=""),"",(IFERROR(INDEX(Raw_Financials!$O$2:$O$76, MATCH(1, (Raw_Financials!$A$2:$A$76="Indian Oil")*(Raw_Financials!$B$2:$B$76="2021"),0)+1),""))/(IFERROR(INDEX(Raw_Financials!$M$2:$M$76, MATCH(1, (Raw_Financials!$A$2:$A$76="Indian Oil")*(Raw_Financials!$B$2:$B$76="2021"),0)+1),"")))</f>
        <v>2.5620798878511732</v>
      </c>
      <c r="H48" cm="1">
        <f t="array" ref="H48">IF(OR(IFERROR(INDEX(Raw_Financials!$M$2:$M$76, MATCH(1, (Raw_Financials!$A$2:$A$76="Indian Oil")*(Raw_Financials!$B$2:$B$76="2021"),0)+1),"")="",IFERROR(INDEX(Raw_Financials!$L$2:$L$76, MATCH(1, (Raw_Financials!$A$2:$A$76="Indian Oil")*(Raw_Financials!$B$2:$B$76="2021"),0)+1),"")=""),"",(IFERROR(INDEX(Raw_Financials!$M$2:$M$76, MATCH(1, (Raw_Financials!$A$2:$A$76="Indian Oil")*(Raw_Financials!$B$2:$B$76="2021"),0)+1),""))/(IFERROR(INDEX(Raw_Financials!$L$2:$L$76, MATCH(1, (Raw_Financials!$A$2:$A$76="Indian Oil")*(Raw_Financials!$B$2:$B$76="2021"),0)+1),"")))</f>
        <v>6.7361662826258026</v>
      </c>
      <c r="I48" cm="1">
        <f t="array" ref="I48">IF(OR(IFERROR(INDEX(Raw_Financials!$N$2:$N$76, MATCH(1, (Raw_Financials!$A$2:$A$76="Indian Oil")*(Raw_Financials!$B$2:$B$76="2021"),0)+1),"")="",IFERROR(INDEX(Raw_Financials!$J$2:$J$76, MATCH(1, (Raw_Financials!$A$2:$A$76="Indian Oil")*(Raw_Financials!$B$2:$B$76="2021"),0)+1),"")=""),"",(IFERROR(INDEX(Raw_Financials!$N$2:$N$76, MATCH(1, (Raw_Financials!$A$2:$A$76="Indian Oil")*(Raw_Financials!$B$2:$B$76="2021"),0)+1),""))-(IFERROR(INDEX(Raw_Financials!$J$2:$J$76, MATCH(1, (Raw_Financials!$A$2:$A$76="Indian Oil")*(Raw_Financials!$B$2:$B$76="2021"),0)+1),"")))</f>
        <v>23549.729999999996</v>
      </c>
      <c r="J48" cm="1">
        <f t="array" ref="J48">IF(OR(IFERROR(INDEX(Raw_Financials!$M$2:$M$76, MATCH(1, (Raw_Financials!$A$2:$A$76="Indian Oil")*(Raw_Financials!$B$2:$B$76="2021"),0)+1),"")="",IFERROR(INDEX(Raw_Financials!$C$2:$C$76, MATCH(1, (Raw_Financials!$A$2:$A$76="Indian Oil")*(Raw_Financials!$B$2:$B$76="2021"),0)+1),"")=""),"",(IFERROR(INDEX(Raw_Financials!$M$2:$M$76, MATCH(1, (Raw_Financials!$A$2:$A$76="Indian Oil")*(Raw_Financials!$B$2:$B$76="2021"),0)+1),""))/(IFERROR(INDEX(Raw_Financials!$C$2:$C$76, MATCH(1, (Raw_Financials!$A$2:$A$76="Indian Oil")*(Raw_Financials!$B$2:$B$76="2021"),0)+1),"")))</f>
        <v>0.3837764257058679</v>
      </c>
      <c r="K48" cm="1">
        <f t="array" ref="K48">IF(OR(IFERROR(INDEX(Raw_ESG!$C$2:$C$76, MATCH(1, (Raw_ESG!$A$2:$A$76="Indian Oil")*(Raw_ESG!$B$2:$B$76="2021"),0)+1),"")="",IFERROR(INDEX(Raw_Financials!$J$2:$J$76, MATCH(1, (Raw_Financials!$A$2:$A$76="Indian Oil")*(Raw_Financials!$B$2:$B$76="2021"),0)+1),"")=""),"",(IFERROR(INDEX(Raw_ESG!$C$2:$C$76, MATCH(1, (Raw_ESG!$A$2:$A$76="Indian Oil")*(Raw_ESG!$B$2:$B$76="2021"),0)+1),""))/(IFERROR(INDEX(Raw_Financials!$J$2:$J$76, MATCH(1, (Raw_Financials!$A$2:$A$76="Indian Oil")*(Raw_Financials!$B$2:$B$76="2021"),0)+1),"")))</f>
        <v>0.52495533030869435</v>
      </c>
      <c r="L48" cm="1">
        <f t="array" ref="L48">IF(OR(IFERROR(INDEX(Raw_ESG!$D$2:$D$76, MATCH(1, (Raw_ESG!$A$2:$A$76="Indian Oil")*(Raw_ESG!$B$2:$B$76="2021"),0)+1),"")="",IFERROR(INDEX(Raw_Financials!$E$2:$E$76, MATCH(1, (Raw_Financials!$A$2:$A$76="Indian Oil")*(Raw_Financials!$B$2:$B$76="2021"),0)+1),"")=""),"",(IFERROR(INDEX(Raw_ESG!$D$2:$D$76, MATCH(1, (Raw_ESG!$A$2:$A$76="Indian Oil")*(Raw_ESG!$B$2:$B$76="2021"),0)+1),""))/(IFERROR(INDEX(Raw_Financials!$E$2:$E$76, MATCH(1, (Raw_Financials!$A$2:$A$76="Indian Oil")*(Raw_Financials!$B$2:$B$76="2021"),0)+1),"")))</f>
        <v>8.3265332754278679E-2</v>
      </c>
      <c r="M48" cm="1">
        <f t="array" ref="M48">IF(OR(IFERROR(INDEX(Raw_ESG!$E$2:$E$76, MATCH(1, (Raw_ESG!$A$2:$A$76="Indian Oil")*(Raw_ESG!$B$2:$B$76="2021"),0)+1),"")="",IFERROR(INDEX(Raw_ESG!$F$2:$F$76, MATCH(1, (Raw_ESG!$A$2:$A$76="Indian Oil")*(Raw_ESG!$B$2:$B$76="2021"),0)+1),"")=""),"",(IFERROR(INDEX(Raw_ESG!$E$2:$E$76, MATCH(1, (Raw_ESG!$A$2:$A$76="Indian Oil")*(Raw_ESG!$B$2:$B$76="2021"),0)+1),""))+(IFERROR(INDEX(Raw_ESG!$F$2:$F$76, MATCH(1, (Raw_ESG!$A$2:$A$76="Indian Oil")*(Raw_ESG!$B$2:$B$76="2021"),0)+1),"")))</f>
        <v>208064.65</v>
      </c>
      <c r="N48" cm="1">
        <f t="array" ref="N48">IFERROR(INDEX(Raw_ESG!$G$2:$G$76, MATCH(1, (Raw_ESG!$A$2:$A$76="Indian Oil")*(Raw_ESG!$B$2:$B$76="2021"),0)+1),"")</f>
        <v>42.27</v>
      </c>
    </row>
    <row r="49" spans="1:14" x14ac:dyDescent="0.35">
      <c r="A49" t="s">
        <v>11</v>
      </c>
      <c r="B49" t="s">
        <v>35</v>
      </c>
      <c r="C49" cm="1">
        <f t="array" ref="C49">IF(OR(IFERROR(INDEX(Raw_Financials!$E$2:$E$76, MATCH(1, (Raw_Financials!$A$2:$A$76="Indian Oil")*(Raw_Financials!$B$2:$B$76="2022"),0)+1),"")="",IFERROR(INDEX(Raw_Financials!$D$2:$D$76, MATCH(1, (Raw_Financials!$A$2:$A$76="Indian Oil")*(Raw_Financials!$B$2:$B$76="2022"),0)+1),"")=""),"",(IFERROR(INDEX(Raw_Financials!$D$2:$D$76, MATCH(1, (Raw_Financials!$A$2:$A$76="Indian Oil")*(Raw_Financials!$B$2:$B$76="2022"),0)+1),""))/(IFERROR(INDEX(Raw_Financials!$E$2:$E$76, MATCH(1, (Raw_Financials!$A$2:$A$76="Indian Oil")*(Raw_Financials!$B$2:$B$76="2022"),0)+1),"")))</f>
        <v>6.4135285857723795E-2</v>
      </c>
      <c r="D49" cm="1">
        <f t="array" ref="D49">IF(OR(IFERROR(INDEX(Raw_Financials!$E$2:$E$76, MATCH(1, (Raw_Financials!$A$2:$A$76="Indian Oil")*(Raw_Financials!$B$2:$B$76="2022"),0)+1),"")="",IFERROR(INDEX(Raw_Financials!$C$2:$C$76, MATCH(1, (Raw_Financials!$A$2:$A$76="Indian Oil")*(Raw_Financials!$B$2:$B$76="2022"),0)+1),"")=""),"",(IFERROR(INDEX(Raw_Financials!$C$2:$C$76, MATCH(1, (Raw_Financials!$A$2:$A$76="Indian Oil")*(Raw_Financials!$B$2:$B$76="2022"),0)+1),""))/(IFERROR(INDEX(Raw_Financials!$E$2:$E$76, MATCH(1, (Raw_Financials!$A$2:$A$76="Indian Oil")*(Raw_Financials!$B$2:$B$76="2022"),0)+1),"")))</f>
        <v>0.84633708677574104</v>
      </c>
      <c r="E49" cm="1">
        <f t="array" ref="E49">IF(OR(IFERROR(INDEX(Raw_Financials!$G$2:$G$76, MATCH(1, (Raw_Financials!$A$2:$A$76="Indian Oil")*(Raw_Financials!$B$2:$B$76="2022"),0)+1),"")="",IFERROR(INDEX(Raw_Financials!$H$2:$H$76, MATCH(1, (Raw_Financials!$A$2:$A$76="Indian Oil")*(Raw_Financials!$B$2:$B$76="2022"),0)+1),"")=""),"",(IFERROR(INDEX(Raw_Financials!$G$2:$G$76, MATCH(1, (Raw_Financials!$A$2:$A$76="Indian Oil")*(Raw_Financials!$B$2:$B$76="2022"),0)+1),""))-(IFERROR(INDEX(Raw_Financials!$H$2:$H$76, MATCH(1, (Raw_Financials!$A$2:$A$76="Indian Oil")*(Raw_Financials!$B$2:$B$76="2022"),0)+1),"")))</f>
        <v>2724.0599999999977</v>
      </c>
      <c r="F49" cm="1">
        <f t="array" ref="F49">IF(OR(IFERROR(INDEX(Raw_Financials!$C$2:$C$76, MATCH(1, (Raw_Financials!$A$2:$A$76="Indian Oil")*(Raw_Financials!$B$2:$B$76="2022"),0)+1),"")="",IF(OR(IFERROR(INDEX(Raw_Financials!$G$2:$G$76, MATCH(1, (Raw_Financials!$A$2:$A$76="Indian Oil")*(Raw_Financials!$B$2:$B$76="2022"),0)+1),"")="",IFERROR(INDEX(Raw_Financials!$H$2:$H$76, MATCH(1, (Raw_Financials!$A$2:$A$76="Indian Oil")*(Raw_Financials!$B$2:$B$76="2022"),0)+1),"")=""),"",(IFERROR(INDEX(Raw_Financials!$G$2:$G$76, MATCH(1, (Raw_Financials!$A$2:$A$76="Indian Oil")*(Raw_Financials!$B$2:$B$76="2022"),0)+1),""))-(IFERROR(INDEX(Raw_Financials!$H$2:$H$76, MATCH(1, (Raw_Financials!$A$2:$A$76="Indian Oil")*(Raw_Financials!$B$2:$B$76="2022"),0)+1),"")))=""),"",(IFERROR(INDEX(Raw_Financials!$C$2:$C$76, MATCH(1, (Raw_Financials!$A$2:$A$76="Indian Oil")*(Raw_Financials!$B$2:$B$76="2022"),0)+1),""))/(IF(OR(IFERROR(INDEX(Raw_Financials!$G$2:$G$76, MATCH(1, (Raw_Financials!$A$2:$A$76="Indian Oil")*(Raw_Financials!$B$2:$B$76="2022"),0)+1),"")="",IFERROR(INDEX(Raw_Financials!$H$2:$H$76, MATCH(1, (Raw_Financials!$A$2:$A$76="Indian Oil")*(Raw_Financials!$B$2:$B$76="2022"),0)+1),"")=""),"",(IFERROR(INDEX(Raw_Financials!$G$2:$G$76, MATCH(1, (Raw_Financials!$A$2:$A$76="Indian Oil")*(Raw_Financials!$B$2:$B$76="2022"),0)+1),""))-(IFERROR(INDEX(Raw_Financials!$H$2:$H$76, MATCH(1, (Raw_Financials!$A$2:$A$76="Indian Oil")*(Raw_Financials!$B$2:$B$76="2022"),0)+1),"")))))</f>
        <v>26.400673993964915</v>
      </c>
      <c r="G49" cm="1">
        <f t="array" ref="G49">IF(OR(IFERROR(INDEX(Raw_Financials!$O$2:$O$76, MATCH(1, (Raw_Financials!$A$2:$A$76="Indian Oil")*(Raw_Financials!$B$2:$B$76="2022"),0)+1),"")="",IFERROR(INDEX(Raw_Financials!$M$2:$M$76, MATCH(1, (Raw_Financials!$A$2:$A$76="Indian Oil")*(Raw_Financials!$B$2:$B$76="2022"),0)+1),"")=""),"",(IFERROR(INDEX(Raw_Financials!$O$2:$O$76, MATCH(1, (Raw_Financials!$A$2:$A$76="Indian Oil")*(Raw_Financials!$B$2:$B$76="2022"),0)+1),""))/(IFERROR(INDEX(Raw_Financials!$M$2:$M$76, MATCH(1, (Raw_Financials!$A$2:$A$76="Indian Oil")*(Raw_Financials!$B$2:$B$76="2022"),0)+1),"")))</f>
        <v>4.385280896508327</v>
      </c>
      <c r="H49" cm="1">
        <f t="array" ref="H49">IF(OR(IFERROR(INDEX(Raw_Financials!$M$2:$M$76, MATCH(1, (Raw_Financials!$A$2:$A$76="Indian Oil")*(Raw_Financials!$B$2:$B$76="2022"),0)+1),"")="",IFERROR(INDEX(Raw_Financials!$L$2:$L$76, MATCH(1, (Raw_Financials!$A$2:$A$76="Indian Oil")*(Raw_Financials!$B$2:$B$76="2022"),0)+1),"")=""),"",(IFERROR(INDEX(Raw_Financials!$M$2:$M$76, MATCH(1, (Raw_Financials!$A$2:$A$76="Indian Oil")*(Raw_Financials!$B$2:$B$76="2022"),0)+1),""))/(IFERROR(INDEX(Raw_Financials!$L$2:$L$76, MATCH(1, (Raw_Financials!$A$2:$A$76="Indian Oil")*(Raw_Financials!$B$2:$B$76="2022"),0)+1),"")))</f>
        <v>4.0036766035415932</v>
      </c>
      <c r="I49" cm="1">
        <f t="array" ref="I49">IF(OR(IFERROR(INDEX(Raw_Financials!$N$2:$N$76, MATCH(1, (Raw_Financials!$A$2:$A$76="Indian Oil")*(Raw_Financials!$B$2:$B$76="2022"),0)+1),"")="",IFERROR(INDEX(Raw_Financials!$J$2:$J$76, MATCH(1, (Raw_Financials!$A$2:$A$76="Indian Oil")*(Raw_Financials!$B$2:$B$76="2022"),0)+1),"")=""),"",(IFERROR(INDEX(Raw_Financials!$N$2:$N$76, MATCH(1, (Raw_Financials!$A$2:$A$76="Indian Oil")*(Raw_Financials!$B$2:$B$76="2022"),0)+1),""))-(IFERROR(INDEX(Raw_Financials!$J$2:$J$76, MATCH(1, (Raw_Financials!$A$2:$A$76="Indian Oil")*(Raw_Financials!$B$2:$B$76="2022"),0)+1),"")))</f>
        <v>19911.700000000004</v>
      </c>
      <c r="J49" cm="1">
        <f t="array" ref="J49">IF(OR(IFERROR(INDEX(Raw_Financials!$M$2:$M$76, MATCH(1, (Raw_Financials!$A$2:$A$76="Indian Oil")*(Raw_Financials!$B$2:$B$76="2022"),0)+1),"")="",IFERROR(INDEX(Raw_Financials!$C$2:$C$76, MATCH(1, (Raw_Financials!$A$2:$A$76="Indian Oil")*(Raw_Financials!$B$2:$B$76="2022"),0)+1),"")=""),"",(IFERROR(INDEX(Raw_Financials!$M$2:$M$76, MATCH(1, (Raw_Financials!$A$2:$A$76="Indian Oil")*(Raw_Financials!$B$2:$B$76="2022"),0)+1),""))/(IFERROR(INDEX(Raw_Financials!$C$2:$C$76, MATCH(1, (Raw_Financials!$A$2:$A$76="Indian Oil")*(Raw_Financials!$B$2:$B$76="2022"),0)+1),"")))</f>
        <v>0.18473123608291889</v>
      </c>
      <c r="K49" cm="1">
        <f t="array" ref="K49">IF(OR(IFERROR(INDEX(Raw_ESG!$C$2:$C$76, MATCH(1, (Raw_ESG!$A$2:$A$76="Indian Oil")*(Raw_ESG!$B$2:$B$76="2022"),0)+1),"")="",IFERROR(INDEX(Raw_Financials!$J$2:$J$76, MATCH(1, (Raw_Financials!$A$2:$A$76="Indian Oil")*(Raw_Financials!$B$2:$B$76="2022"),0)+1),"")=""),"",(IFERROR(INDEX(Raw_ESG!$C$2:$C$76, MATCH(1, (Raw_ESG!$A$2:$A$76="Indian Oil")*(Raw_ESG!$B$2:$B$76="2022"),0)+1),""))/(IFERROR(INDEX(Raw_Financials!$J$2:$J$76, MATCH(1, (Raw_Financials!$A$2:$A$76="Indian Oil")*(Raw_Financials!$B$2:$B$76="2022"),0)+1),"")))</f>
        <v>0.40405182869632283</v>
      </c>
      <c r="L49" cm="1">
        <f t="array" ref="L49">IF(OR(IFERROR(INDEX(Raw_ESG!$D$2:$D$76, MATCH(1, (Raw_ESG!$A$2:$A$76="Indian Oil")*(Raw_ESG!$B$2:$B$76="2022"),0)+1),"")="",IFERROR(INDEX(Raw_Financials!$E$2:$E$76, MATCH(1, (Raw_Financials!$A$2:$A$76="Indian Oil")*(Raw_Financials!$B$2:$B$76="2022"),0)+1),"")=""),"",(IFERROR(INDEX(Raw_ESG!$D$2:$D$76, MATCH(1, (Raw_ESG!$A$2:$A$76="Indian Oil")*(Raw_ESG!$B$2:$B$76="2022"),0)+1),""))/(IFERROR(INDEX(Raw_Financials!$E$2:$E$76, MATCH(1, (Raw_Financials!$A$2:$A$76="Indian Oil")*(Raw_Financials!$B$2:$B$76="2022"),0)+1),"")))</f>
        <v>0.14358482385997484</v>
      </c>
      <c r="M49" cm="1">
        <f t="array" ref="M49">IF(OR(IFERROR(INDEX(Raw_ESG!$E$2:$E$76, MATCH(1, (Raw_ESG!$A$2:$A$76="Indian Oil")*(Raw_ESG!$B$2:$B$76="2022"),0)+1),"")="",IFERROR(INDEX(Raw_ESG!$F$2:$F$76, MATCH(1, (Raw_ESG!$A$2:$A$76="Indian Oil")*(Raw_ESG!$B$2:$B$76="2022"),0)+1),"")=""),"",(IFERROR(INDEX(Raw_ESG!$E$2:$E$76, MATCH(1, (Raw_ESG!$A$2:$A$76="Indian Oil")*(Raw_ESG!$B$2:$B$76="2022"),0)+1),""))+(IFERROR(INDEX(Raw_ESG!$F$2:$F$76, MATCH(1, (Raw_ESG!$A$2:$A$76="Indian Oil")*(Raw_ESG!$B$2:$B$76="2022"),0)+1),"")))</f>
        <v>209370.67</v>
      </c>
      <c r="N49" cm="1">
        <f t="array" ref="N49">IFERROR(INDEX(Raw_ESG!$G$2:$G$76, MATCH(1, (Raw_ESG!$A$2:$A$76="Indian Oil")*(Raw_ESG!$B$2:$B$76="2022"),0)+1),"")</f>
        <v>58.73</v>
      </c>
    </row>
    <row r="50" spans="1:14" x14ac:dyDescent="0.35">
      <c r="A50" t="s">
        <v>11</v>
      </c>
      <c r="B50" t="s">
        <v>36</v>
      </c>
      <c r="C50" cm="1">
        <f t="array" ref="C50">IF(OR(IFERROR(INDEX(Raw_Financials!$E$2:$E$76, MATCH(1, (Raw_Financials!$A$2:$A$76="Indian Oil")*(Raw_Financials!$B$2:$B$76="2023"),0)+1),"")="",IFERROR(INDEX(Raw_Financials!$D$2:$D$76, MATCH(1, (Raw_Financials!$A$2:$A$76="Indian Oil")*(Raw_Financials!$B$2:$B$76="2023"),0)+1),"")=""),"",(IFERROR(INDEX(Raw_Financials!$D$2:$D$76, MATCH(1, (Raw_Financials!$A$2:$A$76="Indian Oil")*(Raw_Financials!$B$2:$B$76="2023"),0)+1),""))/(IFERROR(INDEX(Raw_Financials!$E$2:$E$76, MATCH(1, (Raw_Financials!$A$2:$A$76="Indian Oil")*(Raw_Financials!$B$2:$B$76="2023"),0)+1),"")))</f>
        <v>3.6151515986233625E-2</v>
      </c>
      <c r="D50" cm="1">
        <f t="array" ref="D50">IF(OR(IFERROR(INDEX(Raw_Financials!$E$2:$E$76, MATCH(1, (Raw_Financials!$A$2:$A$76="Indian Oil")*(Raw_Financials!$B$2:$B$76="2023"),0)+1),"")="",IFERROR(INDEX(Raw_Financials!$C$2:$C$76, MATCH(1, (Raw_Financials!$A$2:$A$76="Indian Oil")*(Raw_Financials!$B$2:$B$76="2023"),0)+1),"")=""),"",(IFERROR(INDEX(Raw_Financials!$C$2:$C$76, MATCH(1, (Raw_Financials!$A$2:$A$76="Indian Oil")*(Raw_Financials!$B$2:$B$76="2023"),0)+1),""))/(IFERROR(INDEX(Raw_Financials!$E$2:$E$76, MATCH(1, (Raw_Financials!$A$2:$A$76="Indian Oil")*(Raw_Financials!$B$2:$B$76="2023"),0)+1),"")))</f>
        <v>0.34867617547265195</v>
      </c>
      <c r="E50" cm="1">
        <f t="array" ref="E50">IF(OR(IFERROR(INDEX(Raw_Financials!$G$2:$G$76, MATCH(1, (Raw_Financials!$A$2:$A$76="Indian Oil")*(Raw_Financials!$B$2:$B$76="2023"),0)+1),"")="",IFERROR(INDEX(Raw_Financials!$H$2:$H$76, MATCH(1, (Raw_Financials!$A$2:$A$76="Indian Oil")*(Raw_Financials!$B$2:$B$76="2023"),0)+1),"")=""),"",(IFERROR(INDEX(Raw_Financials!$G$2:$G$76, MATCH(1, (Raw_Financials!$A$2:$A$76="Indian Oil")*(Raw_Financials!$B$2:$B$76="2023"),0)+1),""))-(IFERROR(INDEX(Raw_Financials!$H$2:$H$76, MATCH(1, (Raw_Financials!$A$2:$A$76="Indian Oil")*(Raw_Financials!$B$2:$B$76="2023"),0)+1),"")))</f>
        <v>6197.3899999999994</v>
      </c>
      <c r="F50" cm="1">
        <f t="array" ref="F50">IF(OR(IFERROR(INDEX(Raw_Financials!$C$2:$C$76, MATCH(1, (Raw_Financials!$A$2:$A$76="Indian Oil")*(Raw_Financials!$B$2:$B$76="2023"),0)+1),"")="",IF(OR(IFERROR(INDEX(Raw_Financials!$G$2:$G$76, MATCH(1, (Raw_Financials!$A$2:$A$76="Indian Oil")*(Raw_Financials!$B$2:$B$76="2023"),0)+1),"")="",IFERROR(INDEX(Raw_Financials!$H$2:$H$76, MATCH(1, (Raw_Financials!$A$2:$A$76="Indian Oil")*(Raw_Financials!$B$2:$B$76="2023"),0)+1),"")=""),"",(IFERROR(INDEX(Raw_Financials!$G$2:$G$76, MATCH(1, (Raw_Financials!$A$2:$A$76="Indian Oil")*(Raw_Financials!$B$2:$B$76="2023"),0)+1),""))-(IFERROR(INDEX(Raw_Financials!$H$2:$H$76, MATCH(1, (Raw_Financials!$A$2:$A$76="Indian Oil")*(Raw_Financials!$B$2:$B$76="2023"),0)+1),"")))=""),"",(IFERROR(INDEX(Raw_Financials!$C$2:$C$76, MATCH(1, (Raw_Financials!$A$2:$A$76="Indian Oil")*(Raw_Financials!$B$2:$B$76="2023"),0)+1),""))/(IF(OR(IFERROR(INDEX(Raw_Financials!$G$2:$G$76, MATCH(1, (Raw_Financials!$A$2:$A$76="Indian Oil")*(Raw_Financials!$B$2:$B$76="2023"),0)+1),"")="",IFERROR(INDEX(Raw_Financials!$H$2:$H$76, MATCH(1, (Raw_Financials!$A$2:$A$76="Indian Oil")*(Raw_Financials!$B$2:$B$76="2023"),0)+1),"")=""),"",(IFERROR(INDEX(Raw_Financials!$G$2:$G$76, MATCH(1, (Raw_Financials!$A$2:$A$76="Indian Oil")*(Raw_Financials!$B$2:$B$76="2023"),0)+1),""))-(IFERROR(INDEX(Raw_Financials!$H$2:$H$76, MATCH(1, (Raw_Financials!$A$2:$A$76="Indian Oil")*(Raw_Financials!$B$2:$B$76="2023"),0)+1),"")))))</f>
        <v>11.111133880552943</v>
      </c>
      <c r="G50" cm="1">
        <f t="array" ref="G50">IF(OR(IFERROR(INDEX(Raw_Financials!$O$2:$O$76, MATCH(1, (Raw_Financials!$A$2:$A$76="Indian Oil")*(Raw_Financials!$B$2:$B$76="2023"),0)+1),"")="",IFERROR(INDEX(Raw_Financials!$M$2:$M$76, MATCH(1, (Raw_Financials!$A$2:$A$76="Indian Oil")*(Raw_Financials!$B$2:$B$76="2023"),0)+1),"")=""),"",(IFERROR(INDEX(Raw_Financials!$O$2:$O$76, MATCH(1, (Raw_Financials!$A$2:$A$76="Indian Oil")*(Raw_Financials!$B$2:$B$76="2023"),0)+1),""))/(IFERROR(INDEX(Raw_Financials!$M$2:$M$76, MATCH(1, (Raw_Financials!$A$2:$A$76="Indian Oil")*(Raw_Financials!$B$2:$B$76="2023"),0)+1),"")))</f>
        <v>1.8640536820297882</v>
      </c>
      <c r="H50" cm="1">
        <f t="array" ref="H50">IF(OR(IFERROR(INDEX(Raw_Financials!$M$2:$M$76, MATCH(1, (Raw_Financials!$A$2:$A$76="Indian Oil")*(Raw_Financials!$B$2:$B$76="2023"),0)+1),"")="",IFERROR(INDEX(Raw_Financials!$L$2:$L$76, MATCH(1, (Raw_Financials!$A$2:$A$76="Indian Oil")*(Raw_Financials!$B$2:$B$76="2023"),0)+1),"")=""),"",(IFERROR(INDEX(Raw_Financials!$M$2:$M$76, MATCH(1, (Raw_Financials!$A$2:$A$76="Indian Oil")*(Raw_Financials!$B$2:$B$76="2023"),0)+1),""))/(IFERROR(INDEX(Raw_Financials!$L$2:$L$76, MATCH(1, (Raw_Financials!$A$2:$A$76="Indian Oil")*(Raw_Financials!$B$2:$B$76="2023"),0)+1),"")))</f>
        <v>7.645733749242023</v>
      </c>
      <c r="I50" cm="1">
        <f t="array" ref="I50">IF(OR(IFERROR(INDEX(Raw_Financials!$N$2:$N$76, MATCH(1, (Raw_Financials!$A$2:$A$76="Indian Oil")*(Raw_Financials!$B$2:$B$76="2023"),0)+1),"")="",IFERROR(INDEX(Raw_Financials!$J$2:$J$76, MATCH(1, (Raw_Financials!$A$2:$A$76="Indian Oil")*(Raw_Financials!$B$2:$B$76="2023"),0)+1),"")=""),"",(IFERROR(INDEX(Raw_Financials!$N$2:$N$76, MATCH(1, (Raw_Financials!$A$2:$A$76="Indian Oil")*(Raw_Financials!$B$2:$B$76="2023"),0)+1),""))-(IFERROR(INDEX(Raw_Financials!$J$2:$J$76, MATCH(1, (Raw_Financials!$A$2:$A$76="Indian Oil")*(Raw_Financials!$B$2:$B$76="2023"),0)+1),"")))</f>
        <v>9621.1899999999987</v>
      </c>
      <c r="J50" cm="1">
        <f t="array" ref="J50">IF(OR(IFERROR(INDEX(Raw_Financials!$M$2:$M$76, MATCH(1, (Raw_Financials!$A$2:$A$76="Indian Oil")*(Raw_Financials!$B$2:$B$76="2023"),0)+1),"")="",IFERROR(INDEX(Raw_Financials!$C$2:$C$76, MATCH(1, (Raw_Financials!$A$2:$A$76="Indian Oil")*(Raw_Financials!$B$2:$B$76="2023"),0)+1),"")=""),"",(IFERROR(INDEX(Raw_Financials!$M$2:$M$76, MATCH(1, (Raw_Financials!$A$2:$A$76="Indian Oil")*(Raw_Financials!$B$2:$B$76="2023"),0)+1),""))/(IFERROR(INDEX(Raw_Financials!$C$2:$C$76, MATCH(1, (Raw_Financials!$A$2:$A$76="Indian Oil")*(Raw_Financials!$B$2:$B$76="2023"),0)+1),"")))</f>
        <v>0.40649837068034972</v>
      </c>
      <c r="K50" cm="1">
        <f t="array" ref="K50">IF(OR(IFERROR(INDEX(Raw_ESG!$C$2:$C$76, MATCH(1, (Raw_ESG!$A$2:$A$76="Indian Oil")*(Raw_ESG!$B$2:$B$76="2023"),0)+1),"")="",IFERROR(INDEX(Raw_Financials!$J$2:$J$76, MATCH(1, (Raw_Financials!$A$2:$A$76="Indian Oil")*(Raw_Financials!$B$2:$B$76="2023"),0)+1),"")=""),"",(IFERROR(INDEX(Raw_ESG!$C$2:$C$76, MATCH(1, (Raw_ESG!$A$2:$A$76="Indian Oil")*(Raw_ESG!$B$2:$B$76="2023"),0)+1),""))/(IFERROR(INDEX(Raw_Financials!$J$2:$J$76, MATCH(1, (Raw_Financials!$A$2:$A$76="Indian Oil")*(Raw_Financials!$B$2:$B$76="2023"),0)+1),"")))</f>
        <v>0.27446659971192899</v>
      </c>
      <c r="L50" cm="1">
        <f t="array" ref="L50">IF(OR(IFERROR(INDEX(Raw_ESG!$D$2:$D$76, MATCH(1, (Raw_ESG!$A$2:$A$76="Indian Oil")*(Raw_ESG!$B$2:$B$76="2023"),0)+1),"")="",IFERROR(INDEX(Raw_Financials!$E$2:$E$76, MATCH(1, (Raw_Financials!$A$2:$A$76="Indian Oil")*(Raw_Financials!$B$2:$B$76="2023"),0)+1),"")=""),"",(IFERROR(INDEX(Raw_ESG!$D$2:$D$76, MATCH(1, (Raw_ESG!$A$2:$A$76="Indian Oil")*(Raw_ESG!$B$2:$B$76="2023"),0)+1),""))/(IFERROR(INDEX(Raw_Financials!$E$2:$E$76, MATCH(1, (Raw_Financials!$A$2:$A$76="Indian Oil")*(Raw_Financials!$B$2:$B$76="2023"),0)+1),"")))</f>
        <v>7.3718699161962289E-2</v>
      </c>
      <c r="M50" cm="1">
        <f t="array" ref="M50">IF(OR(IFERROR(INDEX(Raw_ESG!$E$2:$E$76, MATCH(1, (Raw_ESG!$A$2:$A$76="Indian Oil")*(Raw_ESG!$B$2:$B$76="2023"),0)+1),"")="",IFERROR(INDEX(Raw_ESG!$F$2:$F$76, MATCH(1, (Raw_ESG!$A$2:$A$76="Indian Oil")*(Raw_ESG!$B$2:$B$76="2023"),0)+1),"")=""),"",(IFERROR(INDEX(Raw_ESG!$E$2:$E$76, MATCH(1, (Raw_ESG!$A$2:$A$76="Indian Oil")*(Raw_ESG!$B$2:$B$76="2023"),0)+1),""))+(IFERROR(INDEX(Raw_ESG!$F$2:$F$76, MATCH(1, (Raw_ESG!$A$2:$A$76="Indian Oil")*(Raw_ESG!$B$2:$B$76="2023"),0)+1),"")))</f>
        <v>178554.67</v>
      </c>
      <c r="N50" cm="1">
        <f t="array" ref="N50">IFERROR(INDEX(Raw_ESG!$G$2:$G$76, MATCH(1, (Raw_ESG!$A$2:$A$76="Indian Oil")*(Raw_ESG!$B$2:$B$76="2023"),0)+1),"")</f>
        <v>71.290000000000006</v>
      </c>
    </row>
    <row r="51" spans="1:14" x14ac:dyDescent="0.35">
      <c r="A51" t="s">
        <v>11</v>
      </c>
      <c r="B51" t="s">
        <v>37</v>
      </c>
      <c r="C51" cm="1">
        <f t="array" ref="C51">IF(OR(IFERROR(INDEX(Raw_Financials!$E$2:$E$76, MATCH(1, (Raw_Financials!$A$2:$A$76="Indian Oil")*(Raw_Financials!$B$2:$B$76="2024"),0)+1),"")="",IFERROR(INDEX(Raw_Financials!$D$2:$D$76, MATCH(1, (Raw_Financials!$A$2:$A$76="Indian Oil")*(Raw_Financials!$B$2:$B$76="2024"),0)+1),"")=""),"",(IFERROR(INDEX(Raw_Financials!$D$2:$D$76, MATCH(1, (Raw_Financials!$A$2:$A$76="Indian Oil")*(Raw_Financials!$B$2:$B$76="2024"),0)+1),""))/(IFERROR(INDEX(Raw_Financials!$E$2:$E$76, MATCH(1, (Raw_Financials!$A$2:$A$76="Indian Oil")*(Raw_Financials!$B$2:$B$76="2024"),0)+1),"")))</f>
        <v>6.8094810116637164E-2</v>
      </c>
      <c r="D51" cm="1">
        <f t="array" ref="D51">IF(OR(IFERROR(INDEX(Raw_Financials!$E$2:$E$76, MATCH(1, (Raw_Financials!$A$2:$A$76="Indian Oil")*(Raw_Financials!$B$2:$B$76="2024"),0)+1),"")="",IFERROR(INDEX(Raw_Financials!$C$2:$C$76, MATCH(1, (Raw_Financials!$A$2:$A$76="Indian Oil")*(Raw_Financials!$B$2:$B$76="2024"),0)+1),"")=""),"",(IFERROR(INDEX(Raw_Financials!$C$2:$C$76, MATCH(1, (Raw_Financials!$A$2:$A$76="Indian Oil")*(Raw_Financials!$B$2:$B$76="2024"),0)+1),""))/(IFERROR(INDEX(Raw_Financials!$E$2:$E$76, MATCH(1, (Raw_Financials!$A$2:$A$76="Indian Oil")*(Raw_Financials!$B$2:$B$76="2024"),0)+1),"")))</f>
        <v>0.18234565553342677</v>
      </c>
      <c r="E51" cm="1">
        <f t="array" ref="E51">IF(OR(IFERROR(INDEX(Raw_Financials!$G$2:$G$76, MATCH(1, (Raw_Financials!$A$2:$A$76="Indian Oil")*(Raw_Financials!$B$2:$B$76="2024"),0)+1),"")="",IFERROR(INDEX(Raw_Financials!$H$2:$H$76, MATCH(1, (Raw_Financials!$A$2:$A$76="Indian Oil")*(Raw_Financials!$B$2:$B$76="2024"),0)+1),"")=""),"",(IFERROR(INDEX(Raw_Financials!$G$2:$G$76, MATCH(1, (Raw_Financials!$A$2:$A$76="Indian Oil")*(Raw_Financials!$B$2:$B$76="2024"),0)+1),""))-(IFERROR(INDEX(Raw_Financials!$H$2:$H$76, MATCH(1, (Raw_Financials!$A$2:$A$76="Indian Oil")*(Raw_Financials!$B$2:$B$76="2024"),0)+1),"")))</f>
        <v>-13249.880000000001</v>
      </c>
      <c r="F51" cm="1">
        <f t="array" ref="F51">IF(OR(IFERROR(INDEX(Raw_Financials!$C$2:$C$76, MATCH(1, (Raw_Financials!$A$2:$A$76="Indian Oil")*(Raw_Financials!$B$2:$B$76="2024"),0)+1),"")="",IF(OR(IFERROR(INDEX(Raw_Financials!$G$2:$G$76, MATCH(1, (Raw_Financials!$A$2:$A$76="Indian Oil")*(Raw_Financials!$B$2:$B$76="2024"),0)+1),"")="",IFERROR(INDEX(Raw_Financials!$H$2:$H$76, MATCH(1, (Raw_Financials!$A$2:$A$76="Indian Oil")*(Raw_Financials!$B$2:$B$76="2024"),0)+1),"")=""),"",(IFERROR(INDEX(Raw_Financials!$G$2:$G$76, MATCH(1, (Raw_Financials!$A$2:$A$76="Indian Oil")*(Raw_Financials!$B$2:$B$76="2024"),0)+1),""))-(IFERROR(INDEX(Raw_Financials!$H$2:$H$76, MATCH(1, (Raw_Financials!$A$2:$A$76="Indian Oil")*(Raw_Financials!$B$2:$B$76="2024"),0)+1),"")))=""),"",(IFERROR(INDEX(Raw_Financials!$C$2:$C$76, MATCH(1, (Raw_Financials!$A$2:$A$76="Indian Oil")*(Raw_Financials!$B$2:$B$76="2024"),0)+1),""))/(IF(OR(IFERROR(INDEX(Raw_Financials!$G$2:$G$76, MATCH(1, (Raw_Financials!$A$2:$A$76="Indian Oil")*(Raw_Financials!$B$2:$B$76="2024"),0)+1),"")="",IFERROR(INDEX(Raw_Financials!$H$2:$H$76, MATCH(1, (Raw_Financials!$A$2:$A$76="Indian Oil")*(Raw_Financials!$B$2:$B$76="2024"),0)+1),"")=""),"",(IFERROR(INDEX(Raw_Financials!$G$2:$G$76, MATCH(1, (Raw_Financials!$A$2:$A$76="Indian Oil")*(Raw_Financials!$B$2:$B$76="2024"),0)+1),""))-(IFERROR(INDEX(Raw_Financials!$H$2:$H$76, MATCH(1, (Raw_Financials!$A$2:$A$76="Indian Oil")*(Raw_Financials!$B$2:$B$76="2024"),0)+1),"")))))</f>
        <v>-2.3279380643447336</v>
      </c>
      <c r="G51" cm="1">
        <f t="array" ref="G51">IF(OR(IFERROR(INDEX(Raw_Financials!$O$2:$O$76, MATCH(1, (Raw_Financials!$A$2:$A$76="Indian Oil")*(Raw_Financials!$B$2:$B$76="2024"),0)+1),"")="",IFERROR(INDEX(Raw_Financials!$M$2:$M$76, MATCH(1, (Raw_Financials!$A$2:$A$76="Indian Oil")*(Raw_Financials!$B$2:$B$76="2024"),0)+1),"")=""),"",(IFERROR(INDEX(Raw_Financials!$O$2:$O$76, MATCH(1, (Raw_Financials!$A$2:$A$76="Indian Oil")*(Raw_Financials!$B$2:$B$76="2024"),0)+1),""))/(IFERROR(INDEX(Raw_Financials!$M$2:$M$76, MATCH(1, (Raw_Financials!$A$2:$A$76="Indian Oil")*(Raw_Financials!$B$2:$B$76="2024"),0)+1),"")))</f>
        <v>2.8714052249971229</v>
      </c>
      <c r="H51" cm="1">
        <f t="array" ref="H51">IF(OR(IFERROR(INDEX(Raw_Financials!$M$2:$M$76, MATCH(1, (Raw_Financials!$A$2:$A$76="Indian Oil")*(Raw_Financials!$B$2:$B$76="2024"),0)+1),"")="",IFERROR(INDEX(Raw_Financials!$L$2:$L$76, MATCH(1, (Raw_Financials!$A$2:$A$76="Indian Oil")*(Raw_Financials!$B$2:$B$76="2024"),0)+1),"")=""),"",(IFERROR(INDEX(Raw_Financials!$M$2:$M$76, MATCH(1, (Raw_Financials!$A$2:$A$76="Indian Oil")*(Raw_Financials!$B$2:$B$76="2024"),0)+1),""))/(IFERROR(INDEX(Raw_Financials!$L$2:$L$76, MATCH(1, (Raw_Financials!$A$2:$A$76="Indian Oil")*(Raw_Financials!$B$2:$B$76="2024"),0)+1),"")))</f>
        <v>2.0228962019186745</v>
      </c>
      <c r="I51" cm="1">
        <f t="array" ref="I51">IF(OR(IFERROR(INDEX(Raw_Financials!$N$2:$N$76, MATCH(1, (Raw_Financials!$A$2:$A$76="Indian Oil")*(Raw_Financials!$B$2:$B$76="2024"),0)+1),"")="",IFERROR(INDEX(Raw_Financials!$J$2:$J$76, MATCH(1, (Raw_Financials!$A$2:$A$76="Indian Oil")*(Raw_Financials!$B$2:$B$76="2024"),0)+1),"")=""),"",(IFERROR(INDEX(Raw_Financials!$N$2:$N$76, MATCH(1, (Raw_Financials!$A$2:$A$76="Indian Oil")*(Raw_Financials!$B$2:$B$76="2024"),0)+1),""))-(IFERROR(INDEX(Raw_Financials!$J$2:$J$76, MATCH(1, (Raw_Financials!$A$2:$A$76="Indian Oil")*(Raw_Financials!$B$2:$B$76="2024"),0)+1),"")))</f>
        <v>9958.4399999999987</v>
      </c>
      <c r="J51" cm="1">
        <f t="array" ref="J51">IF(OR(IFERROR(INDEX(Raw_Financials!$M$2:$M$76, MATCH(1, (Raw_Financials!$A$2:$A$76="Indian Oil")*(Raw_Financials!$B$2:$B$76="2024"),0)+1),"")="",IFERROR(INDEX(Raw_Financials!$C$2:$C$76, MATCH(1, (Raw_Financials!$A$2:$A$76="Indian Oil")*(Raw_Financials!$B$2:$B$76="2024"),0)+1),"")=""),"",(IFERROR(INDEX(Raw_Financials!$M$2:$M$76, MATCH(1, (Raw_Financials!$A$2:$A$76="Indian Oil")*(Raw_Financials!$B$2:$B$76="2024"),0)+1),""))/(IFERROR(INDEX(Raw_Financials!$C$2:$C$76, MATCH(1, (Raw_Financials!$A$2:$A$76="Indian Oil")*(Raw_Financials!$B$2:$B$76="2024"),0)+1),"")))</f>
        <v>0.42254959490872068</v>
      </c>
      <c r="K51" cm="1">
        <f t="array" ref="K51">IF(OR(IFERROR(INDEX(Raw_ESG!$C$2:$C$76, MATCH(1, (Raw_ESG!$A$2:$A$76="Indian Oil")*(Raw_ESG!$B$2:$B$76="2024"),0)+1),"")="",IFERROR(INDEX(Raw_Financials!$J$2:$J$76, MATCH(1, (Raw_Financials!$A$2:$A$76="Indian Oil")*(Raw_Financials!$B$2:$B$76="2024"),0)+1),"")=""),"",(IFERROR(INDEX(Raw_ESG!$C$2:$C$76, MATCH(1, (Raw_ESG!$A$2:$A$76="Indian Oil")*(Raw_ESG!$B$2:$B$76="2024"),0)+1),""))/(IFERROR(INDEX(Raw_Financials!$J$2:$J$76, MATCH(1, (Raw_Financials!$A$2:$A$76="Indian Oil")*(Raw_Financials!$B$2:$B$76="2024"),0)+1),"")))</f>
        <v>0.711001189207914</v>
      </c>
      <c r="L51" cm="1">
        <f t="array" ref="L51">IF(OR(IFERROR(INDEX(Raw_ESG!$D$2:$D$76, MATCH(1, (Raw_ESG!$A$2:$A$76="Indian Oil")*(Raw_ESG!$B$2:$B$76="2024"),0)+1),"")="",IFERROR(INDEX(Raw_Financials!$E$2:$E$76, MATCH(1, (Raw_Financials!$A$2:$A$76="Indian Oil")*(Raw_Financials!$B$2:$B$76="2024"),0)+1),"")=""),"",(IFERROR(INDEX(Raw_ESG!$D$2:$D$76, MATCH(1, (Raw_ESG!$A$2:$A$76="Indian Oil")*(Raw_ESG!$B$2:$B$76="2024"),0)+1),""))/(IFERROR(INDEX(Raw_Financials!$E$2:$E$76, MATCH(1, (Raw_Financials!$A$2:$A$76="Indian Oil")*(Raw_Financials!$B$2:$B$76="2024"),0)+1),"")))</f>
        <v>0.10961560323443048</v>
      </c>
      <c r="M51" cm="1">
        <f t="array" ref="M51">IF(OR(IFERROR(INDEX(Raw_ESG!$E$2:$E$76, MATCH(1, (Raw_ESG!$A$2:$A$76="Indian Oil")*(Raw_ESG!$B$2:$B$76="2024"),0)+1),"")="",IFERROR(INDEX(Raw_ESG!$F$2:$F$76, MATCH(1, (Raw_ESG!$A$2:$A$76="Indian Oil")*(Raw_ESG!$B$2:$B$76="2024"),0)+1),"")=""),"",(IFERROR(INDEX(Raw_ESG!$E$2:$E$76, MATCH(1, (Raw_ESG!$A$2:$A$76="Indian Oil")*(Raw_ESG!$B$2:$B$76="2024"),0)+1),""))+(IFERROR(INDEX(Raw_ESG!$F$2:$F$76, MATCH(1, (Raw_ESG!$A$2:$A$76="Indian Oil")*(Raw_ESG!$B$2:$B$76="2024"),0)+1),"")))</f>
        <v>164278.97</v>
      </c>
      <c r="N51" cm="1">
        <f t="array" ref="N51">IFERROR(INDEX(Raw_ESG!$G$2:$G$76, MATCH(1, (Raw_ESG!$A$2:$A$76="Indian Oil")*(Raw_ESG!$B$2:$B$76="2024"),0)+1),"")</f>
        <v>65.16</v>
      </c>
    </row>
    <row r="52" spans="1:14" x14ac:dyDescent="0.35">
      <c r="A52" t="s">
        <v>12</v>
      </c>
      <c r="B52" t="s">
        <v>33</v>
      </c>
      <c r="C52" cm="1">
        <f t="array" ref="C52">IF(OR(IFERROR(INDEX(Raw_Financials!$E$2:$E$76, MATCH(1, (Raw_Financials!$A$2:$A$76="Hindustan Zinc")*(Raw_Financials!$B$2:$B$76="2020"),0)+1),"")="",IFERROR(INDEX(Raw_Financials!$D$2:$D$76, MATCH(1, (Raw_Financials!$A$2:$A$76="Hindustan Zinc")*(Raw_Financials!$B$2:$B$76="2020"),0)+1),"")=""),"",(IFERROR(INDEX(Raw_Financials!$D$2:$D$76, MATCH(1, (Raw_Financials!$A$2:$A$76="Hindustan Zinc")*(Raw_Financials!$B$2:$B$76="2020"),0)+1),""))/(IFERROR(INDEX(Raw_Financials!$E$2:$E$76, MATCH(1, (Raw_Financials!$A$2:$A$76="Hindustan Zinc")*(Raw_Financials!$B$2:$B$76="2020"),0)+1),"")))</f>
        <v>4.8905296640895317E-2</v>
      </c>
      <c r="D52" cm="1">
        <f t="array" ref="D52">IF(OR(IFERROR(INDEX(Raw_Financials!$E$2:$E$76, MATCH(1, (Raw_Financials!$A$2:$A$76="Hindustan Zinc")*(Raw_Financials!$B$2:$B$76="2020"),0)+1),"")="",IFERROR(INDEX(Raw_Financials!$C$2:$C$76, MATCH(1, (Raw_Financials!$A$2:$A$76="Hindustan Zinc")*(Raw_Financials!$B$2:$B$76="2020"),0)+1),"")=""),"",(IFERROR(INDEX(Raw_Financials!$C$2:$C$76, MATCH(1, (Raw_Financials!$A$2:$A$76="Hindustan Zinc")*(Raw_Financials!$B$2:$B$76="2020"),0)+1),""))/(IFERROR(INDEX(Raw_Financials!$E$2:$E$76, MATCH(1, (Raw_Financials!$A$2:$A$76="Hindustan Zinc")*(Raw_Financials!$B$2:$B$76="2020"),0)+1),"")))</f>
        <v>0.25903454400494685</v>
      </c>
      <c r="E52" cm="1">
        <f t="array" ref="E52">IF(OR(IFERROR(INDEX(Raw_Financials!$G$2:$G$76, MATCH(1, (Raw_Financials!$A$2:$A$76="Hindustan Zinc")*(Raw_Financials!$B$2:$B$76="2020"),0)+1),"")="",IFERROR(INDEX(Raw_Financials!$H$2:$H$76, MATCH(1, (Raw_Financials!$A$2:$A$76="Hindustan Zinc")*(Raw_Financials!$B$2:$B$76="2020"),0)+1),"")=""),"",(IFERROR(INDEX(Raw_Financials!$G$2:$G$76, MATCH(1, (Raw_Financials!$A$2:$A$76="Hindustan Zinc")*(Raw_Financials!$B$2:$B$76="2020"),0)+1),""))-(IFERROR(INDEX(Raw_Financials!$H$2:$H$76, MATCH(1, (Raw_Financials!$A$2:$A$76="Hindustan Zinc")*(Raw_Financials!$B$2:$B$76="2020"),0)+1),"")))</f>
        <v>34531.339999999997</v>
      </c>
      <c r="F52" cm="1">
        <f t="array" ref="F52">IF(OR(IFERROR(INDEX(Raw_Financials!$C$2:$C$76, MATCH(1, (Raw_Financials!$A$2:$A$76="Hindustan Zinc")*(Raw_Financials!$B$2:$B$76="2020"),0)+1),"")="",IF(OR(IFERROR(INDEX(Raw_Financials!$G$2:$G$76, MATCH(1, (Raw_Financials!$A$2:$A$76="Hindustan Zinc")*(Raw_Financials!$B$2:$B$76="2020"),0)+1),"")="",IFERROR(INDEX(Raw_Financials!$H$2:$H$76, MATCH(1, (Raw_Financials!$A$2:$A$76="Hindustan Zinc")*(Raw_Financials!$B$2:$B$76="2020"),0)+1),"")=""),"",(IFERROR(INDEX(Raw_Financials!$G$2:$G$76, MATCH(1, (Raw_Financials!$A$2:$A$76="Hindustan Zinc")*(Raw_Financials!$B$2:$B$76="2020"),0)+1),""))-(IFERROR(INDEX(Raw_Financials!$H$2:$H$76, MATCH(1, (Raw_Financials!$A$2:$A$76="Hindustan Zinc")*(Raw_Financials!$B$2:$B$76="2020"),0)+1),"")))=""),"",(IFERROR(INDEX(Raw_Financials!$C$2:$C$76, MATCH(1, (Raw_Financials!$A$2:$A$76="Hindustan Zinc")*(Raw_Financials!$B$2:$B$76="2020"),0)+1),""))/(IF(OR(IFERROR(INDEX(Raw_Financials!$G$2:$G$76, MATCH(1, (Raw_Financials!$A$2:$A$76="Hindustan Zinc")*(Raw_Financials!$B$2:$B$76="2020"),0)+1),"")="",IFERROR(INDEX(Raw_Financials!$H$2:$H$76, MATCH(1, (Raw_Financials!$A$2:$A$76="Hindustan Zinc")*(Raw_Financials!$B$2:$B$76="2020"),0)+1),"")=""),"",(IFERROR(INDEX(Raw_Financials!$G$2:$G$76, MATCH(1, (Raw_Financials!$A$2:$A$76="Hindustan Zinc")*(Raw_Financials!$B$2:$B$76="2020"),0)+1),""))-(IFERROR(INDEX(Raw_Financials!$H$2:$H$76, MATCH(1, (Raw_Financials!$A$2:$A$76="Hindustan Zinc")*(Raw_Financials!$B$2:$B$76="2020"),0)+1),"")))))</f>
        <v>1.5491573741418667</v>
      </c>
      <c r="G52" cm="1">
        <f t="array" ref="G52">IF(OR(IFERROR(INDEX(Raw_Financials!$O$2:$O$76, MATCH(1, (Raw_Financials!$A$2:$A$76="Hindustan Zinc")*(Raw_Financials!$B$2:$B$76="2020"),0)+1),"")="",IFERROR(INDEX(Raw_Financials!$M$2:$M$76, MATCH(1, (Raw_Financials!$A$2:$A$76="Hindustan Zinc")*(Raw_Financials!$B$2:$B$76="2020"),0)+1),"")=""),"",(IFERROR(INDEX(Raw_Financials!$O$2:$O$76, MATCH(1, (Raw_Financials!$A$2:$A$76="Hindustan Zinc")*(Raw_Financials!$B$2:$B$76="2020"),0)+1),""))/(IFERROR(INDEX(Raw_Financials!$M$2:$M$76, MATCH(1, (Raw_Financials!$A$2:$A$76="Hindustan Zinc")*(Raw_Financials!$B$2:$B$76="2020"),0)+1),"")))</f>
        <v>4.7015682759734885</v>
      </c>
      <c r="H52" cm="1">
        <f t="array" ref="H52">IF(OR(IFERROR(INDEX(Raw_Financials!$M$2:$M$76, MATCH(1, (Raw_Financials!$A$2:$A$76="Hindustan Zinc")*(Raw_Financials!$B$2:$B$76="2020"),0)+1),"")="",IFERROR(INDEX(Raw_Financials!$L$2:$L$76, MATCH(1, (Raw_Financials!$A$2:$A$76="Hindustan Zinc")*(Raw_Financials!$B$2:$B$76="2020"),0)+1),"")=""),"",(IFERROR(INDEX(Raw_Financials!$M$2:$M$76, MATCH(1, (Raw_Financials!$A$2:$A$76="Hindustan Zinc")*(Raw_Financials!$B$2:$B$76="2020"),0)+1),""))/(IFERROR(INDEX(Raw_Financials!$L$2:$L$76, MATCH(1, (Raw_Financials!$A$2:$A$76="Hindustan Zinc")*(Raw_Financials!$B$2:$B$76="2020"),0)+1),"")))</f>
        <v>2.0039142955809623</v>
      </c>
      <c r="I52" cm="1">
        <f t="array" ref="I52">IF(OR(IFERROR(INDEX(Raw_Financials!$N$2:$N$76, MATCH(1, (Raw_Financials!$A$2:$A$76="Hindustan Zinc")*(Raw_Financials!$B$2:$B$76="2020"),0)+1),"")="",IFERROR(INDEX(Raw_Financials!$J$2:$J$76, MATCH(1, (Raw_Financials!$A$2:$A$76="Hindustan Zinc")*(Raw_Financials!$B$2:$B$76="2020"),0)+1),"")=""),"",(IFERROR(INDEX(Raw_Financials!$N$2:$N$76, MATCH(1, (Raw_Financials!$A$2:$A$76="Hindustan Zinc")*(Raw_Financials!$B$2:$B$76="2020"),0)+1),""))-(IFERROR(INDEX(Raw_Financials!$J$2:$J$76, MATCH(1, (Raw_Financials!$A$2:$A$76="Hindustan Zinc")*(Raw_Financials!$B$2:$B$76="2020"),0)+1),"")))</f>
        <v>11956.39</v>
      </c>
      <c r="J52" cm="1">
        <f t="array" ref="J52">IF(OR(IFERROR(INDEX(Raw_Financials!$M$2:$M$76, MATCH(1, (Raw_Financials!$A$2:$A$76="Hindustan Zinc")*(Raw_Financials!$B$2:$B$76="2020"),0)+1),"")="",IFERROR(INDEX(Raw_Financials!$C$2:$C$76, MATCH(1, (Raw_Financials!$A$2:$A$76="Hindustan Zinc")*(Raw_Financials!$B$2:$B$76="2020"),0)+1),"")=""),"",(IFERROR(INDEX(Raw_Financials!$M$2:$M$76, MATCH(1, (Raw_Financials!$A$2:$A$76="Hindustan Zinc")*(Raw_Financials!$B$2:$B$76="2020"),0)+1),""))/(IFERROR(INDEX(Raw_Financials!$C$2:$C$76, MATCH(1, (Raw_Financials!$A$2:$A$76="Hindustan Zinc")*(Raw_Financials!$B$2:$B$76="2020"),0)+1),"")))</f>
        <v>0.24298488367397905</v>
      </c>
      <c r="K52" cm="1">
        <f t="array" ref="K52">IF(OR(IFERROR(INDEX(Raw_ESG!$C$2:$C$76, MATCH(1, (Raw_ESG!$A$2:$A$76="Hindustan Zinc")*(Raw_ESG!$B$2:$B$76="2020"),0)+1),"")="",IFERROR(INDEX(Raw_Financials!$J$2:$J$76, MATCH(1, (Raw_Financials!$A$2:$A$76="Hindustan Zinc")*(Raw_Financials!$B$2:$B$76="2020"),0)+1),"")=""),"",(IFERROR(INDEX(Raw_ESG!$C$2:$C$76, MATCH(1, (Raw_ESG!$A$2:$A$76="Hindustan Zinc")*(Raw_ESG!$B$2:$B$76="2020"),0)+1),""))/(IFERROR(INDEX(Raw_Financials!$J$2:$J$76, MATCH(1, (Raw_Financials!$A$2:$A$76="Hindustan Zinc")*(Raw_Financials!$B$2:$B$76="2020"),0)+1),"")))</f>
        <v>1.0160592456600832</v>
      </c>
      <c r="L52" cm="1">
        <f t="array" ref="L52">IF(OR(IFERROR(INDEX(Raw_ESG!$D$2:$D$76, MATCH(1, (Raw_ESG!$A$2:$A$76="Hindustan Zinc")*(Raw_ESG!$B$2:$B$76="2020"),0)+1),"")="",IFERROR(INDEX(Raw_Financials!$E$2:$E$76, MATCH(1, (Raw_Financials!$A$2:$A$76="Hindustan Zinc")*(Raw_Financials!$B$2:$B$76="2020"),0)+1),"")=""),"",(IFERROR(INDEX(Raw_ESG!$D$2:$D$76, MATCH(1, (Raw_ESG!$A$2:$A$76="Hindustan Zinc")*(Raw_ESG!$B$2:$B$76="2020"),0)+1),""))/(IFERROR(INDEX(Raw_Financials!$E$2:$E$76, MATCH(1, (Raw_Financials!$A$2:$A$76="Hindustan Zinc")*(Raw_Financials!$B$2:$B$76="2020"),0)+1),"")))</f>
        <v>0.12764360529037017</v>
      </c>
      <c r="M52" cm="1">
        <f t="array" ref="M52">IF(OR(IFERROR(INDEX(Raw_ESG!$E$2:$E$76, MATCH(1, (Raw_ESG!$A$2:$A$76="Hindustan Zinc")*(Raw_ESG!$B$2:$B$76="2020"),0)+1),"")="",IFERROR(INDEX(Raw_ESG!$F$2:$F$76, MATCH(1, (Raw_ESG!$A$2:$A$76="Hindustan Zinc")*(Raw_ESG!$B$2:$B$76="2020"),0)+1),"")=""),"",(IFERROR(INDEX(Raw_ESG!$E$2:$E$76, MATCH(1, (Raw_ESG!$A$2:$A$76="Hindustan Zinc")*(Raw_ESG!$B$2:$B$76="2020"),0)+1),""))+(IFERROR(INDEX(Raw_ESG!$F$2:$F$76, MATCH(1, (Raw_ESG!$A$2:$A$76="Hindustan Zinc")*(Raw_ESG!$B$2:$B$76="2020"),0)+1),"")))</f>
        <v>123328.76000000001</v>
      </c>
      <c r="N52" cm="1">
        <f t="array" ref="N52">IFERROR(INDEX(Raw_ESG!$G$2:$G$76, MATCH(1, (Raw_ESG!$A$2:$A$76="Hindustan Zinc")*(Raw_ESG!$B$2:$B$76="2020"),0)+1),"")</f>
        <v>82.82</v>
      </c>
    </row>
    <row r="53" spans="1:14" x14ac:dyDescent="0.35">
      <c r="A53" t="s">
        <v>12</v>
      </c>
      <c r="B53" t="s">
        <v>34</v>
      </c>
      <c r="C53" cm="1">
        <f t="array" ref="C53">IF(OR(IFERROR(INDEX(Raw_Financials!$E$2:$E$76, MATCH(1, (Raw_Financials!$A$2:$A$76="Hindustan Zinc")*(Raw_Financials!$B$2:$B$76="2021"),0)+1),"")="",IFERROR(INDEX(Raw_Financials!$D$2:$D$76, MATCH(1, (Raw_Financials!$A$2:$A$76="Hindustan Zinc")*(Raw_Financials!$B$2:$B$76="2021"),0)+1),"")=""),"",(IFERROR(INDEX(Raw_Financials!$D$2:$D$76, MATCH(1, (Raw_Financials!$A$2:$A$76="Hindustan Zinc")*(Raw_Financials!$B$2:$B$76="2021"),0)+1),""))/(IFERROR(INDEX(Raw_Financials!$E$2:$E$76, MATCH(1, (Raw_Financials!$A$2:$A$76="Hindustan Zinc")*(Raw_Financials!$B$2:$B$76="2021"),0)+1),"")))</f>
        <v>7.3971892844417825E-2</v>
      </c>
      <c r="D53" cm="1">
        <f t="array" ref="D53">IF(OR(IFERROR(INDEX(Raw_Financials!$E$2:$E$76, MATCH(1, (Raw_Financials!$A$2:$A$76="Hindustan Zinc")*(Raw_Financials!$B$2:$B$76="2021"),0)+1),"")="",IFERROR(INDEX(Raw_Financials!$C$2:$C$76, MATCH(1, (Raw_Financials!$A$2:$A$76="Hindustan Zinc")*(Raw_Financials!$B$2:$B$76="2021"),0)+1),"")=""),"",(IFERROR(INDEX(Raw_Financials!$C$2:$C$76, MATCH(1, (Raw_Financials!$A$2:$A$76="Hindustan Zinc")*(Raw_Financials!$B$2:$B$76="2021"),0)+1),""))/(IFERROR(INDEX(Raw_Financials!$E$2:$E$76, MATCH(1, (Raw_Financials!$A$2:$A$76="Hindustan Zinc")*(Raw_Financials!$B$2:$B$76="2021"),0)+1),"")))</f>
        <v>0.52937389476230612</v>
      </c>
      <c r="E53" cm="1">
        <f t="array" ref="E53">IF(OR(IFERROR(INDEX(Raw_Financials!$G$2:$G$76, MATCH(1, (Raw_Financials!$A$2:$A$76="Hindustan Zinc")*(Raw_Financials!$B$2:$B$76="2021"),0)+1),"")="",IFERROR(INDEX(Raw_Financials!$H$2:$H$76, MATCH(1, (Raw_Financials!$A$2:$A$76="Hindustan Zinc")*(Raw_Financials!$B$2:$B$76="2021"),0)+1),"")=""),"",(IFERROR(INDEX(Raw_Financials!$G$2:$G$76, MATCH(1, (Raw_Financials!$A$2:$A$76="Hindustan Zinc")*(Raw_Financials!$B$2:$B$76="2021"),0)+1),""))-(IFERROR(INDEX(Raw_Financials!$H$2:$H$76, MATCH(1, (Raw_Financials!$A$2:$A$76="Hindustan Zinc")*(Raw_Financials!$B$2:$B$76="2021"),0)+1),"")))</f>
        <v>-14989.609999999997</v>
      </c>
      <c r="F53" cm="1">
        <f t="array" ref="F53">IF(OR(IFERROR(INDEX(Raw_Financials!$C$2:$C$76, MATCH(1, (Raw_Financials!$A$2:$A$76="Hindustan Zinc")*(Raw_Financials!$B$2:$B$76="2021"),0)+1),"")="",IF(OR(IFERROR(INDEX(Raw_Financials!$G$2:$G$76, MATCH(1, (Raw_Financials!$A$2:$A$76="Hindustan Zinc")*(Raw_Financials!$B$2:$B$76="2021"),0)+1),"")="",IFERROR(INDEX(Raw_Financials!$H$2:$H$76, MATCH(1, (Raw_Financials!$A$2:$A$76="Hindustan Zinc")*(Raw_Financials!$B$2:$B$76="2021"),0)+1),"")=""),"",(IFERROR(INDEX(Raw_Financials!$G$2:$G$76, MATCH(1, (Raw_Financials!$A$2:$A$76="Hindustan Zinc")*(Raw_Financials!$B$2:$B$76="2021"),0)+1),""))-(IFERROR(INDEX(Raw_Financials!$H$2:$H$76, MATCH(1, (Raw_Financials!$A$2:$A$76="Hindustan Zinc")*(Raw_Financials!$B$2:$B$76="2021"),0)+1),"")))=""),"",(IFERROR(INDEX(Raw_Financials!$C$2:$C$76, MATCH(1, (Raw_Financials!$A$2:$A$76="Hindustan Zinc")*(Raw_Financials!$B$2:$B$76="2021"),0)+1),""))/(IF(OR(IFERROR(INDEX(Raw_Financials!$G$2:$G$76, MATCH(1, (Raw_Financials!$A$2:$A$76="Hindustan Zinc")*(Raw_Financials!$B$2:$B$76="2021"),0)+1),"")="",IFERROR(INDEX(Raw_Financials!$H$2:$H$76, MATCH(1, (Raw_Financials!$A$2:$A$76="Hindustan Zinc")*(Raw_Financials!$B$2:$B$76="2021"),0)+1),"")=""),"",(IFERROR(INDEX(Raw_Financials!$G$2:$G$76, MATCH(1, (Raw_Financials!$A$2:$A$76="Hindustan Zinc")*(Raw_Financials!$B$2:$B$76="2021"),0)+1),""))-(IFERROR(INDEX(Raw_Financials!$H$2:$H$76, MATCH(1, (Raw_Financials!$A$2:$A$76="Hindustan Zinc")*(Raw_Financials!$B$2:$B$76="2021"),0)+1),"")))))</f>
        <v>-3.9825866049883891</v>
      </c>
      <c r="G53" cm="1">
        <f t="array" ref="G53">IF(OR(IFERROR(INDEX(Raw_Financials!$O$2:$O$76, MATCH(1, (Raw_Financials!$A$2:$A$76="Hindustan Zinc")*(Raw_Financials!$B$2:$B$76="2021"),0)+1),"")="",IFERROR(INDEX(Raw_Financials!$M$2:$M$76, MATCH(1, (Raw_Financials!$A$2:$A$76="Hindustan Zinc")*(Raw_Financials!$B$2:$B$76="2021"),0)+1),"")=""),"",(IFERROR(INDEX(Raw_Financials!$O$2:$O$76, MATCH(1, (Raw_Financials!$A$2:$A$76="Hindustan Zinc")*(Raw_Financials!$B$2:$B$76="2021"),0)+1),""))/(IFERROR(INDEX(Raw_Financials!$M$2:$M$76, MATCH(1, (Raw_Financials!$A$2:$A$76="Hindustan Zinc")*(Raw_Financials!$B$2:$B$76="2021"),0)+1),"")))</f>
        <v>3.8489564958525384</v>
      </c>
      <c r="H53" cm="1">
        <f t="array" ref="H53">IF(OR(IFERROR(INDEX(Raw_Financials!$M$2:$M$76, MATCH(1, (Raw_Financials!$A$2:$A$76="Hindustan Zinc")*(Raw_Financials!$B$2:$B$76="2021"),0)+1),"")="",IFERROR(INDEX(Raw_Financials!$L$2:$L$76, MATCH(1, (Raw_Financials!$A$2:$A$76="Hindustan Zinc")*(Raw_Financials!$B$2:$B$76="2021"),0)+1),"")=""),"",(IFERROR(INDEX(Raw_Financials!$M$2:$M$76, MATCH(1, (Raw_Financials!$A$2:$A$76="Hindustan Zinc")*(Raw_Financials!$B$2:$B$76="2021"),0)+1),""))/(IFERROR(INDEX(Raw_Financials!$L$2:$L$76, MATCH(1, (Raw_Financials!$A$2:$A$76="Hindustan Zinc")*(Raw_Financials!$B$2:$B$76="2021"),0)+1),"")))</f>
        <v>1.8057312870176137</v>
      </c>
      <c r="I53" cm="1">
        <f t="array" ref="I53">IF(OR(IFERROR(INDEX(Raw_Financials!$N$2:$N$76, MATCH(1, (Raw_Financials!$A$2:$A$76="Hindustan Zinc")*(Raw_Financials!$B$2:$B$76="2021"),0)+1),"")="",IFERROR(INDEX(Raw_Financials!$J$2:$J$76, MATCH(1, (Raw_Financials!$A$2:$A$76="Hindustan Zinc")*(Raw_Financials!$B$2:$B$76="2021"),0)+1),"")=""),"",(IFERROR(INDEX(Raw_Financials!$N$2:$N$76, MATCH(1, (Raw_Financials!$A$2:$A$76="Hindustan Zinc")*(Raw_Financials!$B$2:$B$76="2021"),0)+1),""))-(IFERROR(INDEX(Raw_Financials!$J$2:$J$76, MATCH(1, (Raw_Financials!$A$2:$A$76="Hindustan Zinc")*(Raw_Financials!$B$2:$B$76="2021"),0)+1),"")))</f>
        <v>18147.239999999998</v>
      </c>
      <c r="J53" cm="1">
        <f t="array" ref="J53">IF(OR(IFERROR(INDEX(Raw_Financials!$M$2:$M$76, MATCH(1, (Raw_Financials!$A$2:$A$76="Hindustan Zinc")*(Raw_Financials!$B$2:$B$76="2021"),0)+1),"")="",IFERROR(INDEX(Raw_Financials!$C$2:$C$76, MATCH(1, (Raw_Financials!$A$2:$A$76="Hindustan Zinc")*(Raw_Financials!$B$2:$B$76="2021"),0)+1),"")=""),"",(IFERROR(INDEX(Raw_Financials!$M$2:$M$76, MATCH(1, (Raw_Financials!$A$2:$A$76="Hindustan Zinc")*(Raw_Financials!$B$2:$B$76="2021"),0)+1),""))/(IFERROR(INDEX(Raw_Financials!$C$2:$C$76, MATCH(1, (Raw_Financials!$A$2:$A$76="Hindustan Zinc")*(Raw_Financials!$B$2:$B$76="2021"),0)+1),"")))</f>
        <v>0.21888768392335886</v>
      </c>
      <c r="K53" cm="1">
        <f t="array" ref="K53">IF(OR(IFERROR(INDEX(Raw_ESG!$C$2:$C$76, MATCH(1, (Raw_ESG!$A$2:$A$76="Hindustan Zinc")*(Raw_ESG!$B$2:$B$76="2021"),0)+1),"")="",IFERROR(INDEX(Raw_Financials!$J$2:$J$76, MATCH(1, (Raw_Financials!$A$2:$A$76="Hindustan Zinc")*(Raw_Financials!$B$2:$B$76="2021"),0)+1),"")=""),"",(IFERROR(INDEX(Raw_ESG!$C$2:$C$76, MATCH(1, (Raw_ESG!$A$2:$A$76="Hindustan Zinc")*(Raw_ESG!$B$2:$B$76="2021"),0)+1),""))/(IFERROR(INDEX(Raw_Financials!$J$2:$J$76, MATCH(1, (Raw_Financials!$A$2:$A$76="Hindustan Zinc")*(Raw_Financials!$B$2:$B$76="2021"),0)+1),"")))</f>
        <v>0.79896564470706033</v>
      </c>
      <c r="L53" cm="1">
        <f t="array" ref="L53">IF(OR(IFERROR(INDEX(Raw_ESG!$D$2:$D$76, MATCH(1, (Raw_ESG!$A$2:$A$76="Hindustan Zinc")*(Raw_ESG!$B$2:$B$76="2021"),0)+1),"")="",IFERROR(INDEX(Raw_Financials!$E$2:$E$76, MATCH(1, (Raw_Financials!$A$2:$A$76="Hindustan Zinc")*(Raw_Financials!$B$2:$B$76="2021"),0)+1),"")=""),"",(IFERROR(INDEX(Raw_ESG!$D$2:$D$76, MATCH(1, (Raw_ESG!$A$2:$A$76="Hindustan Zinc")*(Raw_ESG!$B$2:$B$76="2021"),0)+1),""))/(IFERROR(INDEX(Raw_Financials!$E$2:$E$76, MATCH(1, (Raw_Financials!$A$2:$A$76="Hindustan Zinc")*(Raw_Financials!$B$2:$B$76="2021"),0)+1),"")))</f>
        <v>0.24132875575087173</v>
      </c>
      <c r="M53" cm="1">
        <f t="array" ref="M53">IF(OR(IFERROR(INDEX(Raw_ESG!$E$2:$E$76, MATCH(1, (Raw_ESG!$A$2:$A$76="Hindustan Zinc")*(Raw_ESG!$B$2:$B$76="2021"),0)+1),"")="",IFERROR(INDEX(Raw_ESG!$F$2:$F$76, MATCH(1, (Raw_ESG!$A$2:$A$76="Hindustan Zinc")*(Raw_ESG!$B$2:$B$76="2021"),0)+1),"")=""),"",(IFERROR(INDEX(Raw_ESG!$E$2:$E$76, MATCH(1, (Raw_ESG!$A$2:$A$76="Hindustan Zinc")*(Raw_ESG!$B$2:$B$76="2021"),0)+1),""))+(IFERROR(INDEX(Raw_ESG!$F$2:$F$76, MATCH(1, (Raw_ESG!$A$2:$A$76="Hindustan Zinc")*(Raw_ESG!$B$2:$B$76="2021"),0)+1),"")))</f>
        <v>123661.06999999999</v>
      </c>
      <c r="N53" cm="1">
        <f t="array" ref="N53">IFERROR(INDEX(Raw_ESG!$G$2:$G$76, MATCH(1, (Raw_ESG!$A$2:$A$76="Hindustan Zinc")*(Raw_ESG!$B$2:$B$76="2021"),0)+1),"")</f>
        <v>72.930000000000007</v>
      </c>
    </row>
    <row r="54" spans="1:14" x14ac:dyDescent="0.35">
      <c r="A54" t="s">
        <v>12</v>
      </c>
      <c r="B54" t="s">
        <v>35</v>
      </c>
      <c r="C54" cm="1">
        <f t="array" ref="C54">IF(OR(IFERROR(INDEX(Raw_Financials!$E$2:$E$76, MATCH(1, (Raw_Financials!$A$2:$A$76="Hindustan Zinc")*(Raw_Financials!$B$2:$B$76="2022"),0)+1),"")="",IFERROR(INDEX(Raw_Financials!$D$2:$D$76, MATCH(1, (Raw_Financials!$A$2:$A$76="Hindustan Zinc")*(Raw_Financials!$B$2:$B$76="2022"),0)+1),"")=""),"",(IFERROR(INDEX(Raw_Financials!$D$2:$D$76, MATCH(1, (Raw_Financials!$A$2:$A$76="Hindustan Zinc")*(Raw_Financials!$B$2:$B$76="2022"),0)+1),""))/(IFERROR(INDEX(Raw_Financials!$E$2:$E$76, MATCH(1, (Raw_Financials!$A$2:$A$76="Hindustan Zinc")*(Raw_Financials!$B$2:$B$76="2022"),0)+1),"")))</f>
        <v>7.170902819165402E-2</v>
      </c>
      <c r="D54" cm="1">
        <f t="array" ref="D54">IF(OR(IFERROR(INDEX(Raw_Financials!$E$2:$E$76, MATCH(1, (Raw_Financials!$A$2:$A$76="Hindustan Zinc")*(Raw_Financials!$B$2:$B$76="2022"),0)+1),"")="",IFERROR(INDEX(Raw_Financials!$C$2:$C$76, MATCH(1, (Raw_Financials!$A$2:$A$76="Hindustan Zinc")*(Raw_Financials!$B$2:$B$76="2022"),0)+1),"")=""),"",(IFERROR(INDEX(Raw_Financials!$C$2:$C$76, MATCH(1, (Raw_Financials!$A$2:$A$76="Hindustan Zinc")*(Raw_Financials!$B$2:$B$76="2022"),0)+1),""))/(IFERROR(INDEX(Raw_Financials!$E$2:$E$76, MATCH(1, (Raw_Financials!$A$2:$A$76="Hindustan Zinc")*(Raw_Financials!$B$2:$B$76="2022"),0)+1),"")))</f>
        <v>0.42940607490844018</v>
      </c>
      <c r="E54" cm="1">
        <f t="array" ref="E54">IF(OR(IFERROR(INDEX(Raw_Financials!$G$2:$G$76, MATCH(1, (Raw_Financials!$A$2:$A$76="Hindustan Zinc")*(Raw_Financials!$B$2:$B$76="2022"),0)+1),"")="",IFERROR(INDEX(Raw_Financials!$H$2:$H$76, MATCH(1, (Raw_Financials!$A$2:$A$76="Hindustan Zinc")*(Raw_Financials!$B$2:$B$76="2022"),0)+1),"")=""),"",(IFERROR(INDEX(Raw_Financials!$G$2:$G$76, MATCH(1, (Raw_Financials!$A$2:$A$76="Hindustan Zinc")*(Raw_Financials!$B$2:$B$76="2022"),0)+1),""))-(IFERROR(INDEX(Raw_Financials!$H$2:$H$76, MATCH(1, (Raw_Financials!$A$2:$A$76="Hindustan Zinc")*(Raw_Financials!$B$2:$B$76="2022"),0)+1),"")))</f>
        <v>20682.82</v>
      </c>
      <c r="F54" cm="1">
        <f t="array" ref="F54">IF(OR(IFERROR(INDEX(Raw_Financials!$C$2:$C$76, MATCH(1, (Raw_Financials!$A$2:$A$76="Hindustan Zinc")*(Raw_Financials!$B$2:$B$76="2022"),0)+1),"")="",IF(OR(IFERROR(INDEX(Raw_Financials!$G$2:$G$76, MATCH(1, (Raw_Financials!$A$2:$A$76="Hindustan Zinc")*(Raw_Financials!$B$2:$B$76="2022"),0)+1),"")="",IFERROR(INDEX(Raw_Financials!$H$2:$H$76, MATCH(1, (Raw_Financials!$A$2:$A$76="Hindustan Zinc")*(Raw_Financials!$B$2:$B$76="2022"),0)+1),"")=""),"",(IFERROR(INDEX(Raw_Financials!$G$2:$G$76, MATCH(1, (Raw_Financials!$A$2:$A$76="Hindustan Zinc")*(Raw_Financials!$B$2:$B$76="2022"),0)+1),""))-(IFERROR(INDEX(Raw_Financials!$H$2:$H$76, MATCH(1, (Raw_Financials!$A$2:$A$76="Hindustan Zinc")*(Raw_Financials!$B$2:$B$76="2022"),0)+1),"")))=""),"",(IFERROR(INDEX(Raw_Financials!$C$2:$C$76, MATCH(1, (Raw_Financials!$A$2:$A$76="Hindustan Zinc")*(Raw_Financials!$B$2:$B$76="2022"),0)+1),""))/(IF(OR(IFERROR(INDEX(Raw_Financials!$G$2:$G$76, MATCH(1, (Raw_Financials!$A$2:$A$76="Hindustan Zinc")*(Raw_Financials!$B$2:$B$76="2022"),0)+1),"")="",IFERROR(INDEX(Raw_Financials!$H$2:$H$76, MATCH(1, (Raw_Financials!$A$2:$A$76="Hindustan Zinc")*(Raw_Financials!$B$2:$B$76="2022"),0)+1),"")=""),"",(IFERROR(INDEX(Raw_Financials!$G$2:$G$76, MATCH(1, (Raw_Financials!$A$2:$A$76="Hindustan Zinc")*(Raw_Financials!$B$2:$B$76="2022"),0)+1),""))-(IFERROR(INDEX(Raw_Financials!$H$2:$H$76, MATCH(1, (Raw_Financials!$A$2:$A$76="Hindustan Zinc")*(Raw_Financials!$B$2:$B$76="2022"),0)+1),"")))))</f>
        <v>3.317062180108902</v>
      </c>
      <c r="G54" cm="1">
        <f t="array" ref="G54">IF(OR(IFERROR(INDEX(Raw_Financials!$O$2:$O$76, MATCH(1, (Raw_Financials!$A$2:$A$76="Hindustan Zinc")*(Raw_Financials!$B$2:$B$76="2022"),0)+1),"")="",IFERROR(INDEX(Raw_Financials!$M$2:$M$76, MATCH(1, (Raw_Financials!$A$2:$A$76="Hindustan Zinc")*(Raw_Financials!$B$2:$B$76="2022"),0)+1),"")=""),"",(IFERROR(INDEX(Raw_Financials!$O$2:$O$76, MATCH(1, (Raw_Financials!$A$2:$A$76="Hindustan Zinc")*(Raw_Financials!$B$2:$B$76="2022"),0)+1),""))/(IFERROR(INDEX(Raw_Financials!$M$2:$M$76, MATCH(1, (Raw_Financials!$A$2:$A$76="Hindustan Zinc")*(Raw_Financials!$B$2:$B$76="2022"),0)+1),"")))</f>
        <v>2.8823962104227929</v>
      </c>
      <c r="H54" cm="1">
        <f t="array" ref="H54">IF(OR(IFERROR(INDEX(Raw_Financials!$M$2:$M$76, MATCH(1, (Raw_Financials!$A$2:$A$76="Hindustan Zinc")*(Raw_Financials!$B$2:$B$76="2022"),0)+1),"")="",IFERROR(INDEX(Raw_Financials!$L$2:$L$76, MATCH(1, (Raw_Financials!$A$2:$A$76="Hindustan Zinc")*(Raw_Financials!$B$2:$B$76="2022"),0)+1),"")=""),"",(IFERROR(INDEX(Raw_Financials!$M$2:$M$76, MATCH(1, (Raw_Financials!$A$2:$A$76="Hindustan Zinc")*(Raw_Financials!$B$2:$B$76="2022"),0)+1),""))/(IFERROR(INDEX(Raw_Financials!$L$2:$L$76, MATCH(1, (Raw_Financials!$A$2:$A$76="Hindustan Zinc")*(Raw_Financials!$B$2:$B$76="2022"),0)+1),"")))</f>
        <v>5.3518184670987852</v>
      </c>
      <c r="I54" cm="1">
        <f t="array" ref="I54">IF(OR(IFERROR(INDEX(Raw_Financials!$N$2:$N$76, MATCH(1, (Raw_Financials!$A$2:$A$76="Hindustan Zinc")*(Raw_Financials!$B$2:$B$76="2022"),0)+1),"")="",IFERROR(INDEX(Raw_Financials!$J$2:$J$76, MATCH(1, (Raw_Financials!$A$2:$A$76="Hindustan Zinc")*(Raw_Financials!$B$2:$B$76="2022"),0)+1),"")=""),"",(IFERROR(INDEX(Raw_Financials!$N$2:$N$76, MATCH(1, (Raw_Financials!$A$2:$A$76="Hindustan Zinc")*(Raw_Financials!$B$2:$B$76="2022"),0)+1),""))-(IFERROR(INDEX(Raw_Financials!$J$2:$J$76, MATCH(1, (Raw_Financials!$A$2:$A$76="Hindustan Zinc")*(Raw_Financials!$B$2:$B$76="2022"),0)+1),"")))</f>
        <v>25096.300000000003</v>
      </c>
      <c r="J54" cm="1">
        <f t="array" ref="J54">IF(OR(IFERROR(INDEX(Raw_Financials!$M$2:$M$76, MATCH(1, (Raw_Financials!$A$2:$A$76="Hindustan Zinc")*(Raw_Financials!$B$2:$B$76="2022"),0)+1),"")="",IFERROR(INDEX(Raw_Financials!$C$2:$C$76, MATCH(1, (Raw_Financials!$A$2:$A$76="Hindustan Zinc")*(Raw_Financials!$B$2:$B$76="2022"),0)+1),"")=""),"",(IFERROR(INDEX(Raw_Financials!$M$2:$M$76, MATCH(1, (Raw_Financials!$A$2:$A$76="Hindustan Zinc")*(Raw_Financials!$B$2:$B$76="2022"),0)+1),""))/(IFERROR(INDEX(Raw_Financials!$C$2:$C$76, MATCH(1, (Raw_Financials!$A$2:$A$76="Hindustan Zinc")*(Raw_Financials!$B$2:$B$76="2022"),0)+1),"")))</f>
        <v>0.36044672347397178</v>
      </c>
      <c r="K54" cm="1">
        <f t="array" ref="K54">IF(OR(IFERROR(INDEX(Raw_ESG!$C$2:$C$76, MATCH(1, (Raw_ESG!$A$2:$A$76="Hindustan Zinc")*(Raw_ESG!$B$2:$B$76="2022"),0)+1),"")="",IFERROR(INDEX(Raw_Financials!$J$2:$J$76, MATCH(1, (Raw_Financials!$A$2:$A$76="Hindustan Zinc")*(Raw_Financials!$B$2:$B$76="2022"),0)+1),"")=""),"",(IFERROR(INDEX(Raw_ESG!$C$2:$C$76, MATCH(1, (Raw_ESG!$A$2:$A$76="Hindustan Zinc")*(Raw_ESG!$B$2:$B$76="2022"),0)+1),""))/(IFERROR(INDEX(Raw_Financials!$J$2:$J$76, MATCH(1, (Raw_Financials!$A$2:$A$76="Hindustan Zinc")*(Raw_Financials!$B$2:$B$76="2022"),0)+1),"")))</f>
        <v>0.64798083784265925</v>
      </c>
      <c r="L54" cm="1">
        <f t="array" ref="L54">IF(OR(IFERROR(INDEX(Raw_ESG!$D$2:$D$76, MATCH(1, (Raw_ESG!$A$2:$A$76="Hindustan Zinc")*(Raw_ESG!$B$2:$B$76="2022"),0)+1),"")="",IFERROR(INDEX(Raw_Financials!$E$2:$E$76, MATCH(1, (Raw_Financials!$A$2:$A$76="Hindustan Zinc")*(Raw_Financials!$B$2:$B$76="2022"),0)+1),"")=""),"",(IFERROR(INDEX(Raw_ESG!$D$2:$D$76, MATCH(1, (Raw_ESG!$A$2:$A$76="Hindustan Zinc")*(Raw_ESG!$B$2:$B$76="2022"),0)+1),""))/(IFERROR(INDEX(Raw_Financials!$E$2:$E$76, MATCH(1, (Raw_Financials!$A$2:$A$76="Hindustan Zinc")*(Raw_Financials!$B$2:$B$76="2022"),0)+1),"")))</f>
        <v>6.3460232016052082E-2</v>
      </c>
      <c r="M54" cm="1">
        <f t="array" ref="M54">IF(OR(IFERROR(INDEX(Raw_ESG!$E$2:$E$76, MATCH(1, (Raw_ESG!$A$2:$A$76="Hindustan Zinc")*(Raw_ESG!$B$2:$B$76="2022"),0)+1),"")="",IFERROR(INDEX(Raw_ESG!$F$2:$F$76, MATCH(1, (Raw_ESG!$A$2:$A$76="Hindustan Zinc")*(Raw_ESG!$B$2:$B$76="2022"),0)+1),"")=""),"",(IFERROR(INDEX(Raw_ESG!$E$2:$E$76, MATCH(1, (Raw_ESG!$A$2:$A$76="Hindustan Zinc")*(Raw_ESG!$B$2:$B$76="2022"),0)+1),""))+(IFERROR(INDEX(Raw_ESG!$F$2:$F$76, MATCH(1, (Raw_ESG!$A$2:$A$76="Hindustan Zinc")*(Raw_ESG!$B$2:$B$76="2022"),0)+1),"")))</f>
        <v>199953.76</v>
      </c>
      <c r="N54" cm="1">
        <f t="array" ref="N54">IFERROR(INDEX(Raw_ESG!$G$2:$G$76, MATCH(1, (Raw_ESG!$A$2:$A$76="Hindustan Zinc")*(Raw_ESG!$B$2:$B$76="2022"),0)+1),"")</f>
        <v>48.15</v>
      </c>
    </row>
    <row r="55" spans="1:14" x14ac:dyDescent="0.35">
      <c r="A55" t="s">
        <v>12</v>
      </c>
      <c r="B55" t="s">
        <v>36</v>
      </c>
      <c r="C55" cm="1">
        <f t="array" ref="C55">IF(OR(IFERROR(INDEX(Raw_Financials!$E$2:$E$76, MATCH(1, (Raw_Financials!$A$2:$A$76="Hindustan Zinc")*(Raw_Financials!$B$2:$B$76="2023"),0)+1),"")="",IFERROR(INDEX(Raw_Financials!$D$2:$D$76, MATCH(1, (Raw_Financials!$A$2:$A$76="Hindustan Zinc")*(Raw_Financials!$B$2:$B$76="2023"),0)+1),"")=""),"",(IFERROR(INDEX(Raw_Financials!$D$2:$D$76, MATCH(1, (Raw_Financials!$A$2:$A$76="Hindustan Zinc")*(Raw_Financials!$B$2:$B$76="2023"),0)+1),""))/(IFERROR(INDEX(Raw_Financials!$E$2:$E$76, MATCH(1, (Raw_Financials!$A$2:$A$76="Hindustan Zinc")*(Raw_Financials!$B$2:$B$76="2023"),0)+1),"")))</f>
        <v>0.11431428589724162</v>
      </c>
      <c r="D55" cm="1">
        <f t="array" ref="D55">IF(OR(IFERROR(INDEX(Raw_Financials!$E$2:$E$76, MATCH(1, (Raw_Financials!$A$2:$A$76="Hindustan Zinc")*(Raw_Financials!$B$2:$B$76="2023"),0)+1),"")="",IFERROR(INDEX(Raw_Financials!$C$2:$C$76, MATCH(1, (Raw_Financials!$A$2:$A$76="Hindustan Zinc")*(Raw_Financials!$B$2:$B$76="2023"),0)+1),"")=""),"",(IFERROR(INDEX(Raw_Financials!$C$2:$C$76, MATCH(1, (Raw_Financials!$A$2:$A$76="Hindustan Zinc")*(Raw_Financials!$B$2:$B$76="2023"),0)+1),""))/(IFERROR(INDEX(Raw_Financials!$E$2:$E$76, MATCH(1, (Raw_Financials!$A$2:$A$76="Hindustan Zinc")*(Raw_Financials!$B$2:$B$76="2023"),0)+1),"")))</f>
        <v>0.79234296057392051</v>
      </c>
      <c r="E55" cm="1">
        <f t="array" ref="E55">IF(OR(IFERROR(INDEX(Raw_Financials!$G$2:$G$76, MATCH(1, (Raw_Financials!$A$2:$A$76="Hindustan Zinc")*(Raw_Financials!$B$2:$B$76="2023"),0)+1),"")="",IFERROR(INDEX(Raw_Financials!$H$2:$H$76, MATCH(1, (Raw_Financials!$A$2:$A$76="Hindustan Zinc")*(Raw_Financials!$B$2:$B$76="2023"),0)+1),"")=""),"",(IFERROR(INDEX(Raw_Financials!$G$2:$G$76, MATCH(1, (Raw_Financials!$A$2:$A$76="Hindustan Zinc")*(Raw_Financials!$B$2:$B$76="2023"),0)+1),""))-(IFERROR(INDEX(Raw_Financials!$H$2:$H$76, MATCH(1, (Raw_Financials!$A$2:$A$76="Hindustan Zinc")*(Raw_Financials!$B$2:$B$76="2023"),0)+1),"")))</f>
        <v>24230.71</v>
      </c>
      <c r="F55" cm="1">
        <f t="array" ref="F55">IF(OR(IFERROR(INDEX(Raw_Financials!$C$2:$C$76, MATCH(1, (Raw_Financials!$A$2:$A$76="Hindustan Zinc")*(Raw_Financials!$B$2:$B$76="2023"),0)+1),"")="",IF(OR(IFERROR(INDEX(Raw_Financials!$G$2:$G$76, MATCH(1, (Raw_Financials!$A$2:$A$76="Hindustan Zinc")*(Raw_Financials!$B$2:$B$76="2023"),0)+1),"")="",IFERROR(INDEX(Raw_Financials!$H$2:$H$76, MATCH(1, (Raw_Financials!$A$2:$A$76="Hindustan Zinc")*(Raw_Financials!$B$2:$B$76="2023"),0)+1),"")=""),"",(IFERROR(INDEX(Raw_Financials!$G$2:$G$76, MATCH(1, (Raw_Financials!$A$2:$A$76="Hindustan Zinc")*(Raw_Financials!$B$2:$B$76="2023"),0)+1),""))-(IFERROR(INDEX(Raw_Financials!$H$2:$H$76, MATCH(1, (Raw_Financials!$A$2:$A$76="Hindustan Zinc")*(Raw_Financials!$B$2:$B$76="2023"),0)+1),"")))=""),"",(IFERROR(INDEX(Raw_Financials!$C$2:$C$76, MATCH(1, (Raw_Financials!$A$2:$A$76="Hindustan Zinc")*(Raw_Financials!$B$2:$B$76="2023"),0)+1),""))/(IF(OR(IFERROR(INDEX(Raw_Financials!$G$2:$G$76, MATCH(1, (Raw_Financials!$A$2:$A$76="Hindustan Zinc")*(Raw_Financials!$B$2:$B$76="2023"),0)+1),"")="",IFERROR(INDEX(Raw_Financials!$H$2:$H$76, MATCH(1, (Raw_Financials!$A$2:$A$76="Hindustan Zinc")*(Raw_Financials!$B$2:$B$76="2023"),0)+1),"")=""),"",(IFERROR(INDEX(Raw_Financials!$G$2:$G$76, MATCH(1, (Raw_Financials!$A$2:$A$76="Hindustan Zinc")*(Raw_Financials!$B$2:$B$76="2023"),0)+1),""))-(IFERROR(INDEX(Raw_Financials!$H$2:$H$76, MATCH(1, (Raw_Financials!$A$2:$A$76="Hindustan Zinc")*(Raw_Financials!$B$2:$B$76="2023"),0)+1),"")))))</f>
        <v>3.0639655214395285</v>
      </c>
      <c r="G55" cm="1">
        <f t="array" ref="G55">IF(OR(IFERROR(INDEX(Raw_Financials!$O$2:$O$76, MATCH(1, (Raw_Financials!$A$2:$A$76="Hindustan Zinc")*(Raw_Financials!$B$2:$B$76="2023"),0)+1),"")="",IFERROR(INDEX(Raw_Financials!$M$2:$M$76, MATCH(1, (Raw_Financials!$A$2:$A$76="Hindustan Zinc")*(Raw_Financials!$B$2:$B$76="2023"),0)+1),"")=""),"",(IFERROR(INDEX(Raw_Financials!$O$2:$O$76, MATCH(1, (Raw_Financials!$A$2:$A$76="Hindustan Zinc")*(Raw_Financials!$B$2:$B$76="2023"),0)+1),""))/(IFERROR(INDEX(Raw_Financials!$M$2:$M$76, MATCH(1, (Raw_Financials!$A$2:$A$76="Hindustan Zinc")*(Raw_Financials!$B$2:$B$76="2023"),0)+1),"")))</f>
        <v>1.5993724543857002</v>
      </c>
      <c r="H55" cm="1">
        <f t="array" ref="H55">IF(OR(IFERROR(INDEX(Raw_Financials!$M$2:$M$76, MATCH(1, (Raw_Financials!$A$2:$A$76="Hindustan Zinc")*(Raw_Financials!$B$2:$B$76="2023"),0)+1),"")="",IFERROR(INDEX(Raw_Financials!$L$2:$L$76, MATCH(1, (Raw_Financials!$A$2:$A$76="Hindustan Zinc")*(Raw_Financials!$B$2:$B$76="2023"),0)+1),"")=""),"",(IFERROR(INDEX(Raw_Financials!$M$2:$M$76, MATCH(1, (Raw_Financials!$A$2:$A$76="Hindustan Zinc")*(Raw_Financials!$B$2:$B$76="2023"),0)+1),""))/(IFERROR(INDEX(Raw_Financials!$L$2:$L$76, MATCH(1, (Raw_Financials!$A$2:$A$76="Hindustan Zinc")*(Raw_Financials!$B$2:$B$76="2023"),0)+1),"")))</f>
        <v>6.2397347694798126</v>
      </c>
      <c r="I55" cm="1">
        <f t="array" ref="I55">IF(OR(IFERROR(INDEX(Raw_Financials!$N$2:$N$76, MATCH(1, (Raw_Financials!$A$2:$A$76="Hindustan Zinc")*(Raw_Financials!$B$2:$B$76="2023"),0)+1),"")="",IFERROR(INDEX(Raw_Financials!$J$2:$J$76, MATCH(1, (Raw_Financials!$A$2:$A$76="Hindustan Zinc")*(Raw_Financials!$B$2:$B$76="2023"),0)+1),"")=""),"",(IFERROR(INDEX(Raw_Financials!$N$2:$N$76, MATCH(1, (Raw_Financials!$A$2:$A$76="Hindustan Zinc")*(Raw_Financials!$B$2:$B$76="2023"),0)+1),""))-(IFERROR(INDEX(Raw_Financials!$J$2:$J$76, MATCH(1, (Raw_Financials!$A$2:$A$76="Hindustan Zinc")*(Raw_Financials!$B$2:$B$76="2023"),0)+1),"")))</f>
        <v>3625.7699999999986</v>
      </c>
      <c r="J55" cm="1">
        <f t="array" ref="J55">IF(OR(IFERROR(INDEX(Raw_Financials!$M$2:$M$76, MATCH(1, (Raw_Financials!$A$2:$A$76="Hindustan Zinc")*(Raw_Financials!$B$2:$B$76="2023"),0)+1),"")="",IFERROR(INDEX(Raw_Financials!$C$2:$C$76, MATCH(1, (Raw_Financials!$A$2:$A$76="Hindustan Zinc")*(Raw_Financials!$B$2:$B$76="2023"),0)+1),"")=""),"",(IFERROR(INDEX(Raw_Financials!$M$2:$M$76, MATCH(1, (Raw_Financials!$A$2:$A$76="Hindustan Zinc")*(Raw_Financials!$B$2:$B$76="2023"),0)+1),""))/(IFERROR(INDEX(Raw_Financials!$C$2:$C$76, MATCH(1, (Raw_Financials!$A$2:$A$76="Hindustan Zinc")*(Raw_Financials!$B$2:$B$76="2023"),0)+1),"")))</f>
        <v>0.35097450151571763</v>
      </c>
      <c r="K55" cm="1">
        <f t="array" ref="K55">IF(OR(IFERROR(INDEX(Raw_ESG!$C$2:$C$76, MATCH(1, (Raw_ESG!$A$2:$A$76="Hindustan Zinc")*(Raw_ESG!$B$2:$B$76="2023"),0)+1),"")="",IFERROR(INDEX(Raw_Financials!$J$2:$J$76, MATCH(1, (Raw_Financials!$A$2:$A$76="Hindustan Zinc")*(Raw_Financials!$B$2:$B$76="2023"),0)+1),"")=""),"",(IFERROR(INDEX(Raw_ESG!$C$2:$C$76, MATCH(1, (Raw_ESG!$A$2:$A$76="Hindustan Zinc")*(Raw_ESG!$B$2:$B$76="2023"),0)+1),""))/(IFERROR(INDEX(Raw_Financials!$J$2:$J$76, MATCH(1, (Raw_Financials!$A$2:$A$76="Hindustan Zinc")*(Raw_Financials!$B$2:$B$76="2023"),0)+1),"")))</f>
        <v>0.61062087668228027</v>
      </c>
      <c r="L55" cm="1">
        <f t="array" ref="L55">IF(OR(IFERROR(INDEX(Raw_ESG!$D$2:$D$76, MATCH(1, (Raw_ESG!$A$2:$A$76="Hindustan Zinc")*(Raw_ESG!$B$2:$B$76="2023"),0)+1),"")="",IFERROR(INDEX(Raw_Financials!$E$2:$E$76, MATCH(1, (Raw_Financials!$A$2:$A$76="Hindustan Zinc")*(Raw_Financials!$B$2:$B$76="2023"),0)+1),"")=""),"",(IFERROR(INDEX(Raw_ESG!$D$2:$D$76, MATCH(1, (Raw_ESG!$A$2:$A$76="Hindustan Zinc")*(Raw_ESG!$B$2:$B$76="2023"),0)+1),""))/(IFERROR(INDEX(Raw_Financials!$E$2:$E$76, MATCH(1, (Raw_Financials!$A$2:$A$76="Hindustan Zinc")*(Raw_Financials!$B$2:$B$76="2023"),0)+1),"")))</f>
        <v>0.21574257679344799</v>
      </c>
      <c r="M55" cm="1">
        <f t="array" ref="M55">IF(OR(IFERROR(INDEX(Raw_ESG!$E$2:$E$76, MATCH(1, (Raw_ESG!$A$2:$A$76="Hindustan Zinc")*(Raw_ESG!$B$2:$B$76="2023"),0)+1),"")="",IFERROR(INDEX(Raw_ESG!$F$2:$F$76, MATCH(1, (Raw_ESG!$A$2:$A$76="Hindustan Zinc")*(Raw_ESG!$B$2:$B$76="2023"),0)+1),"")=""),"",(IFERROR(INDEX(Raw_ESG!$E$2:$E$76, MATCH(1, (Raw_ESG!$A$2:$A$76="Hindustan Zinc")*(Raw_ESG!$B$2:$B$76="2023"),0)+1),""))+(IFERROR(INDEX(Raw_ESG!$F$2:$F$76, MATCH(1, (Raw_ESG!$A$2:$A$76="Hindustan Zinc")*(Raw_ESG!$B$2:$B$76="2023"),0)+1),"")))</f>
        <v>175432.54</v>
      </c>
      <c r="N55" cm="1">
        <f t="array" ref="N55">IFERROR(INDEX(Raw_ESG!$G$2:$G$76, MATCH(1, (Raw_ESG!$A$2:$A$76="Hindustan Zinc")*(Raw_ESG!$B$2:$B$76="2023"),0)+1),"")</f>
        <v>43.53</v>
      </c>
    </row>
    <row r="56" spans="1:14" x14ac:dyDescent="0.35">
      <c r="A56" t="s">
        <v>12</v>
      </c>
      <c r="B56" t="s">
        <v>37</v>
      </c>
      <c r="C56" cm="1">
        <f t="array" ref="C56">IF(OR(IFERROR(INDEX(Raw_Financials!$E$2:$E$76, MATCH(1, (Raw_Financials!$A$2:$A$76="Hindustan Zinc")*(Raw_Financials!$B$2:$B$76="2024"),0)+1),"")="",IFERROR(INDEX(Raw_Financials!$D$2:$D$76, MATCH(1, (Raw_Financials!$A$2:$A$76="Hindustan Zinc")*(Raw_Financials!$B$2:$B$76="2024"),0)+1),"")=""),"",(IFERROR(INDEX(Raw_Financials!$D$2:$D$76, MATCH(1, (Raw_Financials!$A$2:$A$76="Hindustan Zinc")*(Raw_Financials!$B$2:$B$76="2024"),0)+1),""))/(IFERROR(INDEX(Raw_Financials!$E$2:$E$76, MATCH(1, (Raw_Financials!$A$2:$A$76="Hindustan Zinc")*(Raw_Financials!$B$2:$B$76="2024"),0)+1),"")))</f>
        <v>5.3295113197124315E-2</v>
      </c>
      <c r="D56" cm="1">
        <f t="array" ref="D56">IF(OR(IFERROR(INDEX(Raw_Financials!$E$2:$E$76, MATCH(1, (Raw_Financials!$A$2:$A$76="Hindustan Zinc")*(Raw_Financials!$B$2:$B$76="2024"),0)+1),"")="",IFERROR(INDEX(Raw_Financials!$C$2:$C$76, MATCH(1, (Raw_Financials!$A$2:$A$76="Hindustan Zinc")*(Raw_Financials!$B$2:$B$76="2024"),0)+1),"")=""),"",(IFERROR(INDEX(Raw_Financials!$C$2:$C$76, MATCH(1, (Raw_Financials!$A$2:$A$76="Hindustan Zinc")*(Raw_Financials!$B$2:$B$76="2024"),0)+1),""))/(IFERROR(INDEX(Raw_Financials!$E$2:$E$76, MATCH(1, (Raw_Financials!$A$2:$A$76="Hindustan Zinc")*(Raw_Financials!$B$2:$B$76="2024"),0)+1),"")))</f>
        <v>0.5588091526190585</v>
      </c>
      <c r="E56" cm="1">
        <f t="array" ref="E56">IF(OR(IFERROR(INDEX(Raw_Financials!$G$2:$G$76, MATCH(1, (Raw_Financials!$A$2:$A$76="Hindustan Zinc")*(Raw_Financials!$B$2:$B$76="2024"),0)+1),"")="",IFERROR(INDEX(Raw_Financials!$H$2:$H$76, MATCH(1, (Raw_Financials!$A$2:$A$76="Hindustan Zinc")*(Raw_Financials!$B$2:$B$76="2024"),0)+1),"")=""),"",(IFERROR(INDEX(Raw_Financials!$G$2:$G$76, MATCH(1, (Raw_Financials!$A$2:$A$76="Hindustan Zinc")*(Raw_Financials!$B$2:$B$76="2024"),0)+1),""))-(IFERROR(INDEX(Raw_Financials!$H$2:$H$76, MATCH(1, (Raw_Financials!$A$2:$A$76="Hindustan Zinc")*(Raw_Financials!$B$2:$B$76="2024"),0)+1),"")))</f>
        <v>16350.580000000002</v>
      </c>
      <c r="F56" cm="1">
        <f t="array" ref="F56">IF(OR(IFERROR(INDEX(Raw_Financials!$C$2:$C$76, MATCH(1, (Raw_Financials!$A$2:$A$76="Hindustan Zinc")*(Raw_Financials!$B$2:$B$76="2024"),0)+1),"")="",IF(OR(IFERROR(INDEX(Raw_Financials!$G$2:$G$76, MATCH(1, (Raw_Financials!$A$2:$A$76="Hindustan Zinc")*(Raw_Financials!$B$2:$B$76="2024"),0)+1),"")="",IFERROR(INDEX(Raw_Financials!$H$2:$H$76, MATCH(1, (Raw_Financials!$A$2:$A$76="Hindustan Zinc")*(Raw_Financials!$B$2:$B$76="2024"),0)+1),"")=""),"",(IFERROR(INDEX(Raw_Financials!$G$2:$G$76, MATCH(1, (Raw_Financials!$A$2:$A$76="Hindustan Zinc")*(Raw_Financials!$B$2:$B$76="2024"),0)+1),""))-(IFERROR(INDEX(Raw_Financials!$H$2:$H$76, MATCH(1, (Raw_Financials!$A$2:$A$76="Hindustan Zinc")*(Raw_Financials!$B$2:$B$76="2024"),0)+1),"")))=""),"",(IFERROR(INDEX(Raw_Financials!$C$2:$C$76, MATCH(1, (Raw_Financials!$A$2:$A$76="Hindustan Zinc")*(Raw_Financials!$B$2:$B$76="2024"),0)+1),""))/(IF(OR(IFERROR(INDEX(Raw_Financials!$G$2:$G$76, MATCH(1, (Raw_Financials!$A$2:$A$76="Hindustan Zinc")*(Raw_Financials!$B$2:$B$76="2024"),0)+1),"")="",IFERROR(INDEX(Raw_Financials!$H$2:$H$76, MATCH(1, (Raw_Financials!$A$2:$A$76="Hindustan Zinc")*(Raw_Financials!$B$2:$B$76="2024"),0)+1),"")=""),"",(IFERROR(INDEX(Raw_Financials!$G$2:$G$76, MATCH(1, (Raw_Financials!$A$2:$A$76="Hindustan Zinc")*(Raw_Financials!$B$2:$B$76="2024"),0)+1),""))-(IFERROR(INDEX(Raw_Financials!$H$2:$H$76, MATCH(1, (Raw_Financials!$A$2:$A$76="Hindustan Zinc")*(Raw_Financials!$B$2:$B$76="2024"),0)+1),"")))))</f>
        <v>4.3419120300319616</v>
      </c>
      <c r="G56" cm="1">
        <f t="array" ref="G56">IF(OR(IFERROR(INDEX(Raw_Financials!$O$2:$O$76, MATCH(1, (Raw_Financials!$A$2:$A$76="Hindustan Zinc")*(Raw_Financials!$B$2:$B$76="2024"),0)+1),"")="",IFERROR(INDEX(Raw_Financials!$M$2:$M$76, MATCH(1, (Raw_Financials!$A$2:$A$76="Hindustan Zinc")*(Raw_Financials!$B$2:$B$76="2024"),0)+1),"")=""),"",(IFERROR(INDEX(Raw_Financials!$O$2:$O$76, MATCH(1, (Raw_Financials!$A$2:$A$76="Hindustan Zinc")*(Raw_Financials!$B$2:$B$76="2024"),0)+1),""))/(IFERROR(INDEX(Raw_Financials!$M$2:$M$76, MATCH(1, (Raw_Financials!$A$2:$A$76="Hindustan Zinc")*(Raw_Financials!$B$2:$B$76="2024"),0)+1),"")))</f>
        <v>2.3462016235266083</v>
      </c>
      <c r="H56" cm="1">
        <f t="array" ref="H56">IF(OR(IFERROR(INDEX(Raw_Financials!$M$2:$M$76, MATCH(1, (Raw_Financials!$A$2:$A$76="Hindustan Zinc")*(Raw_Financials!$B$2:$B$76="2024"),0)+1),"")="",IFERROR(INDEX(Raw_Financials!$L$2:$L$76, MATCH(1, (Raw_Financials!$A$2:$A$76="Hindustan Zinc")*(Raw_Financials!$B$2:$B$76="2024"),0)+1),"")=""),"",(IFERROR(INDEX(Raw_Financials!$M$2:$M$76, MATCH(1, (Raw_Financials!$A$2:$A$76="Hindustan Zinc")*(Raw_Financials!$B$2:$B$76="2024"),0)+1),""))/(IFERROR(INDEX(Raw_Financials!$L$2:$L$76, MATCH(1, (Raw_Financials!$A$2:$A$76="Hindustan Zinc")*(Raw_Financials!$B$2:$B$76="2024"),0)+1),"")))</f>
        <v>3.681710551620244</v>
      </c>
      <c r="I56" cm="1">
        <f t="array" ref="I56">IF(OR(IFERROR(INDEX(Raw_Financials!$N$2:$N$76, MATCH(1, (Raw_Financials!$A$2:$A$76="Hindustan Zinc")*(Raw_Financials!$B$2:$B$76="2024"),0)+1),"")="",IFERROR(INDEX(Raw_Financials!$J$2:$J$76, MATCH(1, (Raw_Financials!$A$2:$A$76="Hindustan Zinc")*(Raw_Financials!$B$2:$B$76="2024"),0)+1),"")=""),"",(IFERROR(INDEX(Raw_Financials!$N$2:$N$76, MATCH(1, (Raw_Financials!$A$2:$A$76="Hindustan Zinc")*(Raw_Financials!$B$2:$B$76="2024"),0)+1),""))-(IFERROR(INDEX(Raw_Financials!$J$2:$J$76, MATCH(1, (Raw_Financials!$A$2:$A$76="Hindustan Zinc")*(Raw_Financials!$B$2:$B$76="2024"),0)+1),"")))</f>
        <v>28962.58</v>
      </c>
      <c r="J56" cm="1">
        <f t="array" ref="J56">IF(OR(IFERROR(INDEX(Raw_Financials!$M$2:$M$76, MATCH(1, (Raw_Financials!$A$2:$A$76="Hindustan Zinc")*(Raw_Financials!$B$2:$B$76="2024"),0)+1),"")="",IFERROR(INDEX(Raw_Financials!$C$2:$C$76, MATCH(1, (Raw_Financials!$A$2:$A$76="Hindustan Zinc")*(Raw_Financials!$B$2:$B$76="2024"),0)+1),"")=""),"",(IFERROR(INDEX(Raw_Financials!$M$2:$M$76, MATCH(1, (Raw_Financials!$A$2:$A$76="Hindustan Zinc")*(Raw_Financials!$B$2:$B$76="2024"),0)+1),""))/(IFERROR(INDEX(Raw_Financials!$C$2:$C$76, MATCH(1, (Raw_Financials!$A$2:$A$76="Hindustan Zinc")*(Raw_Financials!$B$2:$B$76="2024"),0)+1),"")))</f>
        <v>0.25887857892027893</v>
      </c>
      <c r="K56" cm="1">
        <f t="array" ref="K56">IF(OR(IFERROR(INDEX(Raw_ESG!$C$2:$C$76, MATCH(1, (Raw_ESG!$A$2:$A$76="Hindustan Zinc")*(Raw_ESG!$B$2:$B$76="2024"),0)+1),"")="",IFERROR(INDEX(Raw_Financials!$J$2:$J$76, MATCH(1, (Raw_Financials!$A$2:$A$76="Hindustan Zinc")*(Raw_Financials!$B$2:$B$76="2024"),0)+1),"")=""),"",(IFERROR(INDEX(Raw_ESG!$C$2:$C$76, MATCH(1, (Raw_ESG!$A$2:$A$76="Hindustan Zinc")*(Raw_ESG!$B$2:$B$76="2024"),0)+1),""))/(IFERROR(INDEX(Raw_Financials!$J$2:$J$76, MATCH(1, (Raw_Financials!$A$2:$A$76="Hindustan Zinc")*(Raw_Financials!$B$2:$B$76="2024"),0)+1),"")))</f>
        <v>1.1093535687368634</v>
      </c>
      <c r="L56" cm="1">
        <f t="array" ref="L56">IF(OR(IFERROR(INDEX(Raw_ESG!$D$2:$D$76, MATCH(1, (Raw_ESG!$A$2:$A$76="Hindustan Zinc")*(Raw_ESG!$B$2:$B$76="2024"),0)+1),"")="",IFERROR(INDEX(Raw_Financials!$E$2:$E$76, MATCH(1, (Raw_Financials!$A$2:$A$76="Hindustan Zinc")*(Raw_Financials!$B$2:$B$76="2024"),0)+1),"")=""),"",(IFERROR(INDEX(Raw_ESG!$D$2:$D$76, MATCH(1, (Raw_ESG!$A$2:$A$76="Hindustan Zinc")*(Raw_ESG!$B$2:$B$76="2024"),0)+1),""))/(IFERROR(INDEX(Raw_Financials!$E$2:$E$76, MATCH(1, (Raw_Financials!$A$2:$A$76="Hindustan Zinc")*(Raw_Financials!$B$2:$B$76="2024"),0)+1),"")))</f>
        <v>0.1444252960690941</v>
      </c>
      <c r="M56" cm="1">
        <f t="array" ref="M56">IF(OR(IFERROR(INDEX(Raw_ESG!$E$2:$E$76, MATCH(1, (Raw_ESG!$A$2:$A$76="Hindustan Zinc")*(Raw_ESG!$B$2:$B$76="2024"),0)+1),"")="",IFERROR(INDEX(Raw_ESG!$F$2:$F$76, MATCH(1, (Raw_ESG!$A$2:$A$76="Hindustan Zinc")*(Raw_ESG!$B$2:$B$76="2024"),0)+1),"")=""),"",(IFERROR(INDEX(Raw_ESG!$E$2:$E$76, MATCH(1, (Raw_ESG!$A$2:$A$76="Hindustan Zinc")*(Raw_ESG!$B$2:$B$76="2024"),0)+1),""))+(IFERROR(INDEX(Raw_ESG!$F$2:$F$76, MATCH(1, (Raw_ESG!$A$2:$A$76="Hindustan Zinc")*(Raw_ESG!$B$2:$B$76="2024"),0)+1),"")))</f>
        <v>120419.98000000001</v>
      </c>
      <c r="N56" cm="1">
        <f t="array" ref="N56">IFERROR(INDEX(Raw_ESG!$G$2:$G$76, MATCH(1, (Raw_ESG!$A$2:$A$76="Hindustan Zinc")*(Raw_ESG!$B$2:$B$76="2024"),0)+1),"")</f>
        <v>72.12</v>
      </c>
    </row>
    <row r="57" spans="1:14" x14ac:dyDescent="0.35">
      <c r="A57" t="s">
        <v>13</v>
      </c>
      <c r="B57" t="s">
        <v>33</v>
      </c>
      <c r="C57" cm="1">
        <f t="array" ref="C57">IF(OR(IFERROR(INDEX(Raw_Financials!$E$2:$E$76, MATCH(1, (Raw_Financials!$A$2:$A$76="NMDC")*(Raw_Financials!$B$2:$B$76="2020"),0)+1),"")="",IFERROR(INDEX(Raw_Financials!$D$2:$D$76, MATCH(1, (Raw_Financials!$A$2:$A$76="NMDC")*(Raw_Financials!$B$2:$B$76="2020"),0)+1),"")=""),"",(IFERROR(INDEX(Raw_Financials!$D$2:$D$76, MATCH(1, (Raw_Financials!$A$2:$A$76="NMDC")*(Raw_Financials!$B$2:$B$76="2020"),0)+1),""))/(IFERROR(INDEX(Raw_Financials!$E$2:$E$76, MATCH(1, (Raw_Financials!$A$2:$A$76="NMDC")*(Raw_Financials!$B$2:$B$76="2020"),0)+1),"")))</f>
        <v>9.1522180729833424E-2</v>
      </c>
      <c r="D57" cm="1">
        <f t="array" ref="D57">IF(OR(IFERROR(INDEX(Raw_Financials!$E$2:$E$76, MATCH(1, (Raw_Financials!$A$2:$A$76="NMDC")*(Raw_Financials!$B$2:$B$76="2020"),0)+1),"")="",IFERROR(INDEX(Raw_Financials!$C$2:$C$76, MATCH(1, (Raw_Financials!$A$2:$A$76="NMDC")*(Raw_Financials!$B$2:$B$76="2020"),0)+1),"")=""),"",(IFERROR(INDEX(Raw_Financials!$C$2:$C$76, MATCH(1, (Raw_Financials!$A$2:$A$76="NMDC")*(Raw_Financials!$B$2:$B$76="2020"),0)+1),""))/(IFERROR(INDEX(Raw_Financials!$E$2:$E$76, MATCH(1, (Raw_Financials!$A$2:$A$76="NMDC")*(Raw_Financials!$B$2:$B$76="2020"),0)+1),"")))</f>
        <v>0.25224540683188901</v>
      </c>
      <c r="E57" cm="1">
        <f t="array" ref="E57">IF(OR(IFERROR(INDEX(Raw_Financials!$G$2:$G$76, MATCH(1, (Raw_Financials!$A$2:$A$76="NMDC")*(Raw_Financials!$B$2:$B$76="2020"),0)+1),"")="",IFERROR(INDEX(Raw_Financials!$H$2:$H$76, MATCH(1, (Raw_Financials!$A$2:$A$76="NMDC")*(Raw_Financials!$B$2:$B$76="2020"),0)+1),"")=""),"",(IFERROR(INDEX(Raw_Financials!$G$2:$G$76, MATCH(1, (Raw_Financials!$A$2:$A$76="NMDC")*(Raw_Financials!$B$2:$B$76="2020"),0)+1),""))-(IFERROR(INDEX(Raw_Financials!$H$2:$H$76, MATCH(1, (Raw_Financials!$A$2:$A$76="NMDC")*(Raw_Financials!$B$2:$B$76="2020"),0)+1),"")))</f>
        <v>-1492.2100000000028</v>
      </c>
      <c r="F57" cm="1">
        <f t="array" ref="F57">IF(OR(IFERROR(INDEX(Raw_Financials!$C$2:$C$76, MATCH(1, (Raw_Financials!$A$2:$A$76="NMDC")*(Raw_Financials!$B$2:$B$76="2020"),0)+1),"")="",IF(OR(IFERROR(INDEX(Raw_Financials!$G$2:$G$76, MATCH(1, (Raw_Financials!$A$2:$A$76="NMDC")*(Raw_Financials!$B$2:$B$76="2020"),0)+1),"")="",IFERROR(INDEX(Raw_Financials!$H$2:$H$76, MATCH(1, (Raw_Financials!$A$2:$A$76="NMDC")*(Raw_Financials!$B$2:$B$76="2020"),0)+1),"")=""),"",(IFERROR(INDEX(Raw_Financials!$G$2:$G$76, MATCH(1, (Raw_Financials!$A$2:$A$76="NMDC")*(Raw_Financials!$B$2:$B$76="2020"),0)+1),""))-(IFERROR(INDEX(Raw_Financials!$H$2:$H$76, MATCH(1, (Raw_Financials!$A$2:$A$76="NMDC")*(Raw_Financials!$B$2:$B$76="2020"),0)+1),"")))=""),"",(IFERROR(INDEX(Raw_Financials!$C$2:$C$76, MATCH(1, (Raw_Financials!$A$2:$A$76="NMDC")*(Raw_Financials!$B$2:$B$76="2020"),0)+1),""))/(IF(OR(IFERROR(INDEX(Raw_Financials!$G$2:$G$76, MATCH(1, (Raw_Financials!$A$2:$A$76="NMDC")*(Raw_Financials!$B$2:$B$76="2020"),0)+1),"")="",IFERROR(INDEX(Raw_Financials!$H$2:$H$76, MATCH(1, (Raw_Financials!$A$2:$A$76="NMDC")*(Raw_Financials!$B$2:$B$76="2020"),0)+1),"")=""),"",(IFERROR(INDEX(Raw_Financials!$G$2:$G$76, MATCH(1, (Raw_Financials!$A$2:$A$76="NMDC")*(Raw_Financials!$B$2:$B$76="2020"),0)+1),""))-(IFERROR(INDEX(Raw_Financials!$H$2:$H$76, MATCH(1, (Raw_Financials!$A$2:$A$76="NMDC")*(Raw_Financials!$B$2:$B$76="2020"),0)+1),"")))))</f>
        <v>-17.192432700491185</v>
      </c>
      <c r="G57" cm="1">
        <f t="array" ref="G57">IF(OR(IFERROR(INDEX(Raw_Financials!$O$2:$O$76, MATCH(1, (Raw_Financials!$A$2:$A$76="NMDC")*(Raw_Financials!$B$2:$B$76="2020"),0)+1),"")="",IFERROR(INDEX(Raw_Financials!$M$2:$M$76, MATCH(1, (Raw_Financials!$A$2:$A$76="NMDC")*(Raw_Financials!$B$2:$B$76="2020"),0)+1),"")=""),"",(IFERROR(INDEX(Raw_Financials!$O$2:$O$76, MATCH(1, (Raw_Financials!$A$2:$A$76="NMDC")*(Raw_Financials!$B$2:$B$76="2020"),0)+1),""))/(IFERROR(INDEX(Raw_Financials!$M$2:$M$76, MATCH(1, (Raw_Financials!$A$2:$A$76="NMDC")*(Raw_Financials!$B$2:$B$76="2020"),0)+1),"")))</f>
        <v>3.1296729806295973</v>
      </c>
      <c r="H57" cm="1">
        <f t="array" ref="H57">IF(OR(IFERROR(INDEX(Raw_Financials!$M$2:$M$76, MATCH(1, (Raw_Financials!$A$2:$A$76="NMDC")*(Raw_Financials!$B$2:$B$76="2020"),0)+1),"")="",IFERROR(INDEX(Raw_Financials!$L$2:$L$76, MATCH(1, (Raw_Financials!$A$2:$A$76="NMDC")*(Raw_Financials!$B$2:$B$76="2020"),0)+1),"")=""),"",(IFERROR(INDEX(Raw_Financials!$M$2:$M$76, MATCH(1, (Raw_Financials!$A$2:$A$76="NMDC")*(Raw_Financials!$B$2:$B$76="2020"),0)+1),""))/(IFERROR(INDEX(Raw_Financials!$L$2:$L$76, MATCH(1, (Raw_Financials!$A$2:$A$76="NMDC")*(Raw_Financials!$B$2:$B$76="2020"),0)+1),"")))</f>
        <v>2.0707823543481476</v>
      </c>
      <c r="I57" cm="1">
        <f t="array" ref="I57">IF(OR(IFERROR(INDEX(Raw_Financials!$N$2:$N$76, MATCH(1, (Raw_Financials!$A$2:$A$76="NMDC")*(Raw_Financials!$B$2:$B$76="2020"),0)+1),"")="",IFERROR(INDEX(Raw_Financials!$J$2:$J$76, MATCH(1, (Raw_Financials!$A$2:$A$76="NMDC")*(Raw_Financials!$B$2:$B$76="2020"),0)+1),"")=""),"",(IFERROR(INDEX(Raw_Financials!$N$2:$N$76, MATCH(1, (Raw_Financials!$A$2:$A$76="NMDC")*(Raw_Financials!$B$2:$B$76="2020"),0)+1),""))-(IFERROR(INDEX(Raw_Financials!$J$2:$J$76, MATCH(1, (Raw_Financials!$A$2:$A$76="NMDC")*(Raw_Financials!$B$2:$B$76="2020"),0)+1),"")))</f>
        <v>16280.269999999999</v>
      </c>
      <c r="J57" cm="1">
        <f t="array" ref="J57">IF(OR(IFERROR(INDEX(Raw_Financials!$M$2:$M$76, MATCH(1, (Raw_Financials!$A$2:$A$76="NMDC")*(Raw_Financials!$B$2:$B$76="2020"),0)+1),"")="",IFERROR(INDEX(Raw_Financials!$C$2:$C$76, MATCH(1, (Raw_Financials!$A$2:$A$76="NMDC")*(Raw_Financials!$B$2:$B$76="2020"),0)+1),"")=""),"",(IFERROR(INDEX(Raw_Financials!$M$2:$M$76, MATCH(1, (Raw_Financials!$A$2:$A$76="NMDC")*(Raw_Financials!$B$2:$B$76="2020"),0)+1),""))/(IFERROR(INDEX(Raw_Financials!$C$2:$C$76, MATCH(1, (Raw_Financials!$A$2:$A$76="NMDC")*(Raw_Financials!$B$2:$B$76="2020"),0)+1),"")))</f>
        <v>0.44208356201120108</v>
      </c>
      <c r="K57" cm="1">
        <f t="array" ref="K57">IF(OR(IFERROR(INDEX(Raw_ESG!$C$2:$C$76, MATCH(1, (Raw_ESG!$A$2:$A$76="NMDC")*(Raw_ESG!$B$2:$B$76="2020"),0)+1),"")="",IFERROR(INDEX(Raw_Financials!$J$2:$J$76, MATCH(1, (Raw_Financials!$A$2:$A$76="NMDC")*(Raw_Financials!$B$2:$B$76="2020"),0)+1),"")=""),"",(IFERROR(INDEX(Raw_ESG!$C$2:$C$76, MATCH(1, (Raw_ESG!$A$2:$A$76="NMDC")*(Raw_ESG!$B$2:$B$76="2020"),0)+1),""))/(IFERROR(INDEX(Raw_Financials!$J$2:$J$76, MATCH(1, (Raw_Financials!$A$2:$A$76="NMDC")*(Raw_Financials!$B$2:$B$76="2020"),0)+1),"")))</f>
        <v>0.19657365950641137</v>
      </c>
      <c r="L57" cm="1">
        <f t="array" ref="L57">IF(OR(IFERROR(INDEX(Raw_ESG!$D$2:$D$76, MATCH(1, (Raw_ESG!$A$2:$A$76="NMDC")*(Raw_ESG!$B$2:$B$76="2020"),0)+1),"")="",IFERROR(INDEX(Raw_Financials!$E$2:$E$76, MATCH(1, (Raw_Financials!$A$2:$A$76="NMDC")*(Raw_Financials!$B$2:$B$76="2020"),0)+1),"")=""),"",(IFERROR(INDEX(Raw_ESG!$D$2:$D$76, MATCH(1, (Raw_ESG!$A$2:$A$76="NMDC")*(Raw_ESG!$B$2:$B$76="2020"),0)+1),""))/(IFERROR(INDEX(Raw_Financials!$E$2:$E$76, MATCH(1, (Raw_Financials!$A$2:$A$76="NMDC")*(Raw_Financials!$B$2:$B$76="2020"),0)+1),"")))</f>
        <v>0.14199993314022658</v>
      </c>
      <c r="M57" cm="1">
        <f t="array" ref="M57">IF(OR(IFERROR(INDEX(Raw_ESG!$E$2:$E$76, MATCH(1, (Raw_ESG!$A$2:$A$76="NMDC")*(Raw_ESG!$B$2:$B$76="2020"),0)+1),"")="",IFERROR(INDEX(Raw_ESG!$F$2:$F$76, MATCH(1, (Raw_ESG!$A$2:$A$76="NMDC")*(Raw_ESG!$B$2:$B$76="2020"),0)+1),"")=""),"",(IFERROR(INDEX(Raw_ESG!$E$2:$E$76, MATCH(1, (Raw_ESG!$A$2:$A$76="NMDC")*(Raw_ESG!$B$2:$B$76="2020"),0)+1),""))+(IFERROR(INDEX(Raw_ESG!$F$2:$F$76, MATCH(1, (Raw_ESG!$A$2:$A$76="NMDC")*(Raw_ESG!$B$2:$B$76="2020"),0)+1),"")))</f>
        <v>102046.91</v>
      </c>
      <c r="N57" cm="1">
        <f t="array" ref="N57">IFERROR(INDEX(Raw_ESG!$G$2:$G$76, MATCH(1, (Raw_ESG!$A$2:$A$76="NMDC")*(Raw_ESG!$B$2:$B$76="2020"),0)+1),"")</f>
        <v>41.33</v>
      </c>
    </row>
    <row r="58" spans="1:14" x14ac:dyDescent="0.35">
      <c r="A58" t="s">
        <v>13</v>
      </c>
      <c r="B58" t="s">
        <v>34</v>
      </c>
      <c r="C58" cm="1">
        <f t="array" ref="C58">IF(OR(IFERROR(INDEX(Raw_Financials!$E$2:$E$76, MATCH(1, (Raw_Financials!$A$2:$A$76="NMDC")*(Raw_Financials!$B$2:$B$76="2021"),0)+1),"")="",IFERROR(INDEX(Raw_Financials!$D$2:$D$76, MATCH(1, (Raw_Financials!$A$2:$A$76="NMDC")*(Raw_Financials!$B$2:$B$76="2021"),0)+1),"")=""),"",(IFERROR(INDEX(Raw_Financials!$D$2:$D$76, MATCH(1, (Raw_Financials!$A$2:$A$76="NMDC")*(Raw_Financials!$B$2:$B$76="2021"),0)+1),""))/(IFERROR(INDEX(Raw_Financials!$E$2:$E$76, MATCH(1, (Raw_Financials!$A$2:$A$76="NMDC")*(Raw_Financials!$B$2:$B$76="2021"),0)+1),"")))</f>
        <v>2.9438302053822901E-2</v>
      </c>
      <c r="D58" cm="1">
        <f t="array" ref="D58">IF(OR(IFERROR(INDEX(Raw_Financials!$E$2:$E$76, MATCH(1, (Raw_Financials!$A$2:$A$76="NMDC")*(Raw_Financials!$B$2:$B$76="2021"),0)+1),"")="",IFERROR(INDEX(Raw_Financials!$C$2:$C$76, MATCH(1, (Raw_Financials!$A$2:$A$76="NMDC")*(Raw_Financials!$B$2:$B$76="2021"),0)+1),"")=""),"",(IFERROR(INDEX(Raw_Financials!$C$2:$C$76, MATCH(1, (Raw_Financials!$A$2:$A$76="NMDC")*(Raw_Financials!$B$2:$B$76="2021"),0)+1),""))/(IFERROR(INDEX(Raw_Financials!$E$2:$E$76, MATCH(1, (Raw_Financials!$A$2:$A$76="NMDC")*(Raw_Financials!$B$2:$B$76="2021"),0)+1),"")))</f>
        <v>0.23684507596321897</v>
      </c>
      <c r="E58" cm="1">
        <f t="array" ref="E58">IF(OR(IFERROR(INDEX(Raw_Financials!$G$2:$G$76, MATCH(1, (Raw_Financials!$A$2:$A$76="NMDC")*(Raw_Financials!$B$2:$B$76="2021"),0)+1),"")="",IFERROR(INDEX(Raw_Financials!$H$2:$H$76, MATCH(1, (Raw_Financials!$A$2:$A$76="NMDC")*(Raw_Financials!$B$2:$B$76="2021"),0)+1),"")=""),"",(IFERROR(INDEX(Raw_Financials!$G$2:$G$76, MATCH(1, (Raw_Financials!$A$2:$A$76="NMDC")*(Raw_Financials!$B$2:$B$76="2021"),0)+1),""))-(IFERROR(INDEX(Raw_Financials!$H$2:$H$76, MATCH(1, (Raw_Financials!$A$2:$A$76="NMDC")*(Raw_Financials!$B$2:$B$76="2021"),0)+1),"")))</f>
        <v>-15637.480000000003</v>
      </c>
      <c r="F58" cm="1">
        <f t="array" ref="F58">IF(OR(IFERROR(INDEX(Raw_Financials!$C$2:$C$76, MATCH(1, (Raw_Financials!$A$2:$A$76="NMDC")*(Raw_Financials!$B$2:$B$76="2021"),0)+1),"")="",IF(OR(IFERROR(INDEX(Raw_Financials!$G$2:$G$76, MATCH(1, (Raw_Financials!$A$2:$A$76="NMDC")*(Raw_Financials!$B$2:$B$76="2021"),0)+1),"")="",IFERROR(INDEX(Raw_Financials!$H$2:$H$76, MATCH(1, (Raw_Financials!$A$2:$A$76="NMDC")*(Raw_Financials!$B$2:$B$76="2021"),0)+1),"")=""),"",(IFERROR(INDEX(Raw_Financials!$G$2:$G$76, MATCH(1, (Raw_Financials!$A$2:$A$76="NMDC")*(Raw_Financials!$B$2:$B$76="2021"),0)+1),""))-(IFERROR(INDEX(Raw_Financials!$H$2:$H$76, MATCH(1, (Raw_Financials!$A$2:$A$76="NMDC")*(Raw_Financials!$B$2:$B$76="2021"),0)+1),"")))=""),"",(IFERROR(INDEX(Raw_Financials!$C$2:$C$76, MATCH(1, (Raw_Financials!$A$2:$A$76="NMDC")*(Raw_Financials!$B$2:$B$76="2021"),0)+1),""))/(IF(OR(IFERROR(INDEX(Raw_Financials!$G$2:$G$76, MATCH(1, (Raw_Financials!$A$2:$A$76="NMDC")*(Raw_Financials!$B$2:$B$76="2021"),0)+1),"")="",IFERROR(INDEX(Raw_Financials!$H$2:$H$76, MATCH(1, (Raw_Financials!$A$2:$A$76="NMDC")*(Raw_Financials!$B$2:$B$76="2021"),0)+1),"")=""),"",(IFERROR(INDEX(Raw_Financials!$G$2:$G$76, MATCH(1, (Raw_Financials!$A$2:$A$76="NMDC")*(Raw_Financials!$B$2:$B$76="2021"),0)+1),""))-(IFERROR(INDEX(Raw_Financials!$H$2:$H$76, MATCH(1, (Raw_Financials!$A$2:$A$76="NMDC")*(Raw_Financials!$B$2:$B$76="2021"),0)+1),"")))))</f>
        <v>-2.2084370371696713</v>
      </c>
      <c r="G58" cm="1">
        <f t="array" ref="G58">IF(OR(IFERROR(INDEX(Raw_Financials!$O$2:$O$76, MATCH(1, (Raw_Financials!$A$2:$A$76="NMDC")*(Raw_Financials!$B$2:$B$76="2021"),0)+1),"")="",IFERROR(INDEX(Raw_Financials!$M$2:$M$76, MATCH(1, (Raw_Financials!$A$2:$A$76="NMDC")*(Raw_Financials!$B$2:$B$76="2021"),0)+1),"")=""),"",(IFERROR(INDEX(Raw_Financials!$O$2:$O$76, MATCH(1, (Raw_Financials!$A$2:$A$76="NMDC")*(Raw_Financials!$B$2:$B$76="2021"),0)+1),""))/(IFERROR(INDEX(Raw_Financials!$M$2:$M$76, MATCH(1, (Raw_Financials!$A$2:$A$76="NMDC")*(Raw_Financials!$B$2:$B$76="2021"),0)+1),"")))</f>
        <v>1.6088668751335948</v>
      </c>
      <c r="H58" cm="1">
        <f t="array" ref="H58">IF(OR(IFERROR(INDEX(Raw_Financials!$M$2:$M$76, MATCH(1, (Raw_Financials!$A$2:$A$76="NMDC")*(Raw_Financials!$B$2:$B$76="2021"),0)+1),"")="",IFERROR(INDEX(Raw_Financials!$L$2:$L$76, MATCH(1, (Raw_Financials!$A$2:$A$76="NMDC")*(Raw_Financials!$B$2:$B$76="2021"),0)+1),"")=""),"",(IFERROR(INDEX(Raw_Financials!$M$2:$M$76, MATCH(1, (Raw_Financials!$A$2:$A$76="NMDC")*(Raw_Financials!$B$2:$B$76="2021"),0)+1),""))/(IFERROR(INDEX(Raw_Financials!$L$2:$L$76, MATCH(1, (Raw_Financials!$A$2:$A$76="NMDC")*(Raw_Financials!$B$2:$B$76="2021"),0)+1),"")))</f>
        <v>4.7055188706475839</v>
      </c>
      <c r="I58" cm="1">
        <f t="array" ref="I58">IF(OR(IFERROR(INDEX(Raw_Financials!$N$2:$N$76, MATCH(1, (Raw_Financials!$A$2:$A$76="NMDC")*(Raw_Financials!$B$2:$B$76="2021"),0)+1),"")="",IFERROR(INDEX(Raw_Financials!$J$2:$J$76, MATCH(1, (Raw_Financials!$A$2:$A$76="NMDC")*(Raw_Financials!$B$2:$B$76="2021"),0)+1),"")=""),"",(IFERROR(INDEX(Raw_Financials!$N$2:$N$76, MATCH(1, (Raw_Financials!$A$2:$A$76="NMDC")*(Raw_Financials!$B$2:$B$76="2021"),0)+1),""))-(IFERROR(INDEX(Raw_Financials!$J$2:$J$76, MATCH(1, (Raw_Financials!$A$2:$A$76="NMDC")*(Raw_Financials!$B$2:$B$76="2021"),0)+1),"")))</f>
        <v>6137.1100000000006</v>
      </c>
      <c r="J58" cm="1">
        <f t="array" ref="J58">IF(OR(IFERROR(INDEX(Raw_Financials!$M$2:$M$76, MATCH(1, (Raw_Financials!$A$2:$A$76="NMDC")*(Raw_Financials!$B$2:$B$76="2021"),0)+1),"")="",IFERROR(INDEX(Raw_Financials!$C$2:$C$76, MATCH(1, (Raw_Financials!$A$2:$A$76="NMDC")*(Raw_Financials!$B$2:$B$76="2021"),0)+1),"")=""),"",(IFERROR(INDEX(Raw_Financials!$M$2:$M$76, MATCH(1, (Raw_Financials!$A$2:$A$76="NMDC")*(Raw_Financials!$B$2:$B$76="2021"),0)+1),""))/(IFERROR(INDEX(Raw_Financials!$C$2:$C$76, MATCH(1, (Raw_Financials!$A$2:$A$76="NMDC")*(Raw_Financials!$B$2:$B$76="2021"),0)+1),"")))</f>
        <v>0.61367263183163223</v>
      </c>
      <c r="K58" cm="1">
        <f t="array" ref="K58">IF(OR(IFERROR(INDEX(Raw_ESG!$C$2:$C$76, MATCH(1, (Raw_ESG!$A$2:$A$76="NMDC")*(Raw_ESG!$B$2:$B$76="2021"),0)+1),"")="",IFERROR(INDEX(Raw_Financials!$J$2:$J$76, MATCH(1, (Raw_Financials!$A$2:$A$76="NMDC")*(Raw_Financials!$B$2:$B$76="2021"),0)+1),"")=""),"",(IFERROR(INDEX(Raw_ESG!$C$2:$C$76, MATCH(1, (Raw_ESG!$A$2:$A$76="NMDC")*(Raw_ESG!$B$2:$B$76="2021"),0)+1),""))/(IFERROR(INDEX(Raw_Financials!$J$2:$J$76, MATCH(1, (Raw_Financials!$A$2:$A$76="NMDC")*(Raw_Financials!$B$2:$B$76="2021"),0)+1),"")))</f>
        <v>0.33970558088228114</v>
      </c>
      <c r="L58" cm="1">
        <f t="array" ref="L58">IF(OR(IFERROR(INDEX(Raw_ESG!$D$2:$D$76, MATCH(1, (Raw_ESG!$A$2:$A$76="NMDC")*(Raw_ESG!$B$2:$B$76="2021"),0)+1),"")="",IFERROR(INDEX(Raw_Financials!$E$2:$E$76, MATCH(1, (Raw_Financials!$A$2:$A$76="NMDC")*(Raw_Financials!$B$2:$B$76="2021"),0)+1),"")=""),"",(IFERROR(INDEX(Raw_ESG!$D$2:$D$76, MATCH(1, (Raw_ESG!$A$2:$A$76="NMDC")*(Raw_ESG!$B$2:$B$76="2021"),0)+1),""))/(IFERROR(INDEX(Raw_Financials!$E$2:$E$76, MATCH(1, (Raw_Financials!$A$2:$A$76="NMDC")*(Raw_Financials!$B$2:$B$76="2021"),0)+1),"")))</f>
        <v>8.5023706186487566E-2</v>
      </c>
      <c r="M58" cm="1">
        <f t="array" ref="M58">IF(OR(IFERROR(INDEX(Raw_ESG!$E$2:$E$76, MATCH(1, (Raw_ESG!$A$2:$A$76="NMDC")*(Raw_ESG!$B$2:$B$76="2021"),0)+1),"")="",IFERROR(INDEX(Raw_ESG!$F$2:$F$76, MATCH(1, (Raw_ESG!$A$2:$A$76="NMDC")*(Raw_ESG!$B$2:$B$76="2021"),0)+1),"")=""),"",(IFERROR(INDEX(Raw_ESG!$E$2:$E$76, MATCH(1, (Raw_ESG!$A$2:$A$76="NMDC")*(Raw_ESG!$B$2:$B$76="2021"),0)+1),""))+(IFERROR(INDEX(Raw_ESG!$F$2:$F$76, MATCH(1, (Raw_ESG!$A$2:$A$76="NMDC")*(Raw_ESG!$B$2:$B$76="2021"),0)+1),"")))</f>
        <v>160129.32999999999</v>
      </c>
      <c r="N58" cm="1">
        <f t="array" ref="N58">IFERROR(INDEX(Raw_ESG!$G$2:$G$76, MATCH(1, (Raw_ESG!$A$2:$A$76="NMDC")*(Raw_ESG!$B$2:$B$76="2021"),0)+1),"")</f>
        <v>69.290000000000006</v>
      </c>
    </row>
    <row r="59" spans="1:14" x14ac:dyDescent="0.35">
      <c r="A59" t="s">
        <v>13</v>
      </c>
      <c r="B59" t="s">
        <v>35</v>
      </c>
      <c r="C59" cm="1">
        <f t="array" ref="C59">IF(OR(IFERROR(INDEX(Raw_Financials!$E$2:$E$76, MATCH(1, (Raw_Financials!$A$2:$A$76="NMDC")*(Raw_Financials!$B$2:$B$76="2022"),0)+1),"")="",IFERROR(INDEX(Raw_Financials!$D$2:$D$76, MATCH(1, (Raw_Financials!$A$2:$A$76="NMDC")*(Raw_Financials!$B$2:$B$76="2022"),0)+1),"")=""),"",(IFERROR(INDEX(Raw_Financials!$D$2:$D$76, MATCH(1, (Raw_Financials!$A$2:$A$76="NMDC")*(Raw_Financials!$B$2:$B$76="2022"),0)+1),""))/(IFERROR(INDEX(Raw_Financials!$E$2:$E$76, MATCH(1, (Raw_Financials!$A$2:$A$76="NMDC")*(Raw_Financials!$B$2:$B$76="2022"),0)+1),"")))</f>
        <v>3.5932182489818033E-2</v>
      </c>
      <c r="D59" cm="1">
        <f t="array" ref="D59">IF(OR(IFERROR(INDEX(Raw_Financials!$E$2:$E$76, MATCH(1, (Raw_Financials!$A$2:$A$76="NMDC")*(Raw_Financials!$B$2:$B$76="2022"),0)+1),"")="",IFERROR(INDEX(Raw_Financials!$C$2:$C$76, MATCH(1, (Raw_Financials!$A$2:$A$76="NMDC")*(Raw_Financials!$B$2:$B$76="2022"),0)+1),"")=""),"",(IFERROR(INDEX(Raw_Financials!$C$2:$C$76, MATCH(1, (Raw_Financials!$A$2:$A$76="NMDC")*(Raw_Financials!$B$2:$B$76="2022"),0)+1),""))/(IFERROR(INDEX(Raw_Financials!$E$2:$E$76, MATCH(1, (Raw_Financials!$A$2:$A$76="NMDC")*(Raw_Financials!$B$2:$B$76="2022"),0)+1),"")))</f>
        <v>0.25446088468684108</v>
      </c>
      <c r="E59" cm="1">
        <f t="array" ref="E59">IF(OR(IFERROR(INDEX(Raw_Financials!$G$2:$G$76, MATCH(1, (Raw_Financials!$A$2:$A$76="NMDC")*(Raw_Financials!$B$2:$B$76="2022"),0)+1),"")="",IFERROR(INDEX(Raw_Financials!$H$2:$H$76, MATCH(1, (Raw_Financials!$A$2:$A$76="NMDC")*(Raw_Financials!$B$2:$B$76="2022"),0)+1),"")=""),"",(IFERROR(INDEX(Raw_Financials!$G$2:$G$76, MATCH(1, (Raw_Financials!$A$2:$A$76="NMDC")*(Raw_Financials!$B$2:$B$76="2022"),0)+1),""))-(IFERROR(INDEX(Raw_Financials!$H$2:$H$76, MATCH(1, (Raw_Financials!$A$2:$A$76="NMDC")*(Raw_Financials!$B$2:$B$76="2022"),0)+1),"")))</f>
        <v>1330.869999999999</v>
      </c>
      <c r="F59" cm="1">
        <f t="array" ref="F59">IF(OR(IFERROR(INDEX(Raw_Financials!$C$2:$C$76, MATCH(1, (Raw_Financials!$A$2:$A$76="NMDC")*(Raw_Financials!$B$2:$B$76="2022"),0)+1),"")="",IF(OR(IFERROR(INDEX(Raw_Financials!$G$2:$G$76, MATCH(1, (Raw_Financials!$A$2:$A$76="NMDC")*(Raw_Financials!$B$2:$B$76="2022"),0)+1),"")="",IFERROR(INDEX(Raw_Financials!$H$2:$H$76, MATCH(1, (Raw_Financials!$A$2:$A$76="NMDC")*(Raw_Financials!$B$2:$B$76="2022"),0)+1),"")=""),"",(IFERROR(INDEX(Raw_Financials!$G$2:$G$76, MATCH(1, (Raw_Financials!$A$2:$A$76="NMDC")*(Raw_Financials!$B$2:$B$76="2022"),0)+1),""))-(IFERROR(INDEX(Raw_Financials!$H$2:$H$76, MATCH(1, (Raw_Financials!$A$2:$A$76="NMDC")*(Raw_Financials!$B$2:$B$76="2022"),0)+1),"")))=""),"",(IFERROR(INDEX(Raw_Financials!$C$2:$C$76, MATCH(1, (Raw_Financials!$A$2:$A$76="NMDC")*(Raw_Financials!$B$2:$B$76="2022"),0)+1),""))/(IF(OR(IFERROR(INDEX(Raw_Financials!$G$2:$G$76, MATCH(1, (Raw_Financials!$A$2:$A$76="NMDC")*(Raw_Financials!$B$2:$B$76="2022"),0)+1),"")="",IFERROR(INDEX(Raw_Financials!$H$2:$H$76, MATCH(1, (Raw_Financials!$A$2:$A$76="NMDC")*(Raw_Financials!$B$2:$B$76="2022"),0)+1),"")=""),"",(IFERROR(INDEX(Raw_Financials!$G$2:$G$76, MATCH(1, (Raw_Financials!$A$2:$A$76="NMDC")*(Raw_Financials!$B$2:$B$76="2022"),0)+1),""))-(IFERROR(INDEX(Raw_Financials!$H$2:$H$76, MATCH(1, (Raw_Financials!$A$2:$A$76="NMDC")*(Raw_Financials!$B$2:$B$76="2022"),0)+1),"")))))</f>
        <v>32.809718454845353</v>
      </c>
      <c r="G59" cm="1">
        <f t="array" ref="G59">IF(OR(IFERROR(INDEX(Raw_Financials!$O$2:$O$76, MATCH(1, (Raw_Financials!$A$2:$A$76="NMDC")*(Raw_Financials!$B$2:$B$76="2022"),0)+1),"")="",IFERROR(INDEX(Raw_Financials!$M$2:$M$76, MATCH(1, (Raw_Financials!$A$2:$A$76="NMDC")*(Raw_Financials!$B$2:$B$76="2022"),0)+1),"")=""),"",(IFERROR(INDEX(Raw_Financials!$O$2:$O$76, MATCH(1, (Raw_Financials!$A$2:$A$76="NMDC")*(Raw_Financials!$B$2:$B$76="2022"),0)+1),""))/(IFERROR(INDEX(Raw_Financials!$M$2:$M$76, MATCH(1, (Raw_Financials!$A$2:$A$76="NMDC")*(Raw_Financials!$B$2:$B$76="2022"),0)+1),"")))</f>
        <v>1.7772136921656465</v>
      </c>
      <c r="H59" cm="1">
        <f t="array" ref="H59">IF(OR(IFERROR(INDEX(Raw_Financials!$M$2:$M$76, MATCH(1, (Raw_Financials!$A$2:$A$76="NMDC")*(Raw_Financials!$B$2:$B$76="2022"),0)+1),"")="",IFERROR(INDEX(Raw_Financials!$L$2:$L$76, MATCH(1, (Raw_Financials!$A$2:$A$76="NMDC")*(Raw_Financials!$B$2:$B$76="2022"),0)+1),"")=""),"",(IFERROR(INDEX(Raw_Financials!$M$2:$M$76, MATCH(1, (Raw_Financials!$A$2:$A$76="NMDC")*(Raw_Financials!$B$2:$B$76="2022"),0)+1),""))/(IFERROR(INDEX(Raw_Financials!$L$2:$L$76, MATCH(1, (Raw_Financials!$A$2:$A$76="NMDC")*(Raw_Financials!$B$2:$B$76="2022"),0)+1),"")))</f>
        <v>4.0504340888566315</v>
      </c>
      <c r="I59" cm="1">
        <f t="array" ref="I59">IF(OR(IFERROR(INDEX(Raw_Financials!$N$2:$N$76, MATCH(1, (Raw_Financials!$A$2:$A$76="NMDC")*(Raw_Financials!$B$2:$B$76="2022"),0)+1),"")="",IFERROR(INDEX(Raw_Financials!$J$2:$J$76, MATCH(1, (Raw_Financials!$A$2:$A$76="NMDC")*(Raw_Financials!$B$2:$B$76="2022"),0)+1),"")=""),"",(IFERROR(INDEX(Raw_Financials!$N$2:$N$76, MATCH(1, (Raw_Financials!$A$2:$A$76="NMDC")*(Raw_Financials!$B$2:$B$76="2022"),0)+1),""))-(IFERROR(INDEX(Raw_Financials!$J$2:$J$76, MATCH(1, (Raw_Financials!$A$2:$A$76="NMDC")*(Raw_Financials!$B$2:$B$76="2022"),0)+1),"")))</f>
        <v>17708.080000000002</v>
      </c>
      <c r="J59" cm="1">
        <f t="array" ref="J59">IF(OR(IFERROR(INDEX(Raw_Financials!$M$2:$M$76, MATCH(1, (Raw_Financials!$A$2:$A$76="NMDC")*(Raw_Financials!$B$2:$B$76="2022"),0)+1),"")="",IFERROR(INDEX(Raw_Financials!$C$2:$C$76, MATCH(1, (Raw_Financials!$A$2:$A$76="NMDC")*(Raw_Financials!$B$2:$B$76="2022"),0)+1),"")=""),"",(IFERROR(INDEX(Raw_Financials!$M$2:$M$76, MATCH(1, (Raw_Financials!$A$2:$A$76="NMDC")*(Raw_Financials!$B$2:$B$76="2022"),0)+1),""))/(IFERROR(INDEX(Raw_Financials!$C$2:$C$76, MATCH(1, (Raw_Financials!$A$2:$A$76="NMDC")*(Raw_Financials!$B$2:$B$76="2022"),0)+1),"")))</f>
        <v>0.33485268794770789</v>
      </c>
      <c r="K59" cm="1">
        <f t="array" ref="K59">IF(OR(IFERROR(INDEX(Raw_ESG!$C$2:$C$76, MATCH(1, (Raw_ESG!$A$2:$A$76="NMDC")*(Raw_ESG!$B$2:$B$76="2022"),0)+1),"")="",IFERROR(INDEX(Raw_Financials!$J$2:$J$76, MATCH(1, (Raw_Financials!$A$2:$A$76="NMDC")*(Raw_Financials!$B$2:$B$76="2022"),0)+1),"")=""),"",(IFERROR(INDEX(Raw_ESG!$C$2:$C$76, MATCH(1, (Raw_ESG!$A$2:$A$76="NMDC")*(Raw_ESG!$B$2:$B$76="2022"),0)+1),""))/(IFERROR(INDEX(Raw_Financials!$J$2:$J$76, MATCH(1, (Raw_Financials!$A$2:$A$76="NMDC")*(Raw_Financials!$B$2:$B$76="2022"),0)+1),"")))</f>
        <v>0.2352302653150681</v>
      </c>
      <c r="L59" cm="1">
        <f t="array" ref="L59">IF(OR(IFERROR(INDEX(Raw_ESG!$D$2:$D$76, MATCH(1, (Raw_ESG!$A$2:$A$76="NMDC")*(Raw_ESG!$B$2:$B$76="2022"),0)+1),"")="",IFERROR(INDEX(Raw_Financials!$E$2:$E$76, MATCH(1, (Raw_Financials!$A$2:$A$76="NMDC")*(Raw_Financials!$B$2:$B$76="2022"),0)+1),"")=""),"",(IFERROR(INDEX(Raw_ESG!$D$2:$D$76, MATCH(1, (Raw_ESG!$A$2:$A$76="NMDC")*(Raw_ESG!$B$2:$B$76="2022"),0)+1),""))/(IFERROR(INDEX(Raw_Financials!$E$2:$E$76, MATCH(1, (Raw_Financials!$A$2:$A$76="NMDC")*(Raw_Financials!$B$2:$B$76="2022"),0)+1),"")))</f>
        <v>9.7624165697503484E-2</v>
      </c>
      <c r="M59" cm="1">
        <f t="array" ref="M59">IF(OR(IFERROR(INDEX(Raw_ESG!$E$2:$E$76, MATCH(1, (Raw_ESG!$A$2:$A$76="NMDC")*(Raw_ESG!$B$2:$B$76="2022"),0)+1),"")="",IFERROR(INDEX(Raw_ESG!$F$2:$F$76, MATCH(1, (Raw_ESG!$A$2:$A$76="NMDC")*(Raw_ESG!$B$2:$B$76="2022"),0)+1),"")=""),"",(IFERROR(INDEX(Raw_ESG!$E$2:$E$76, MATCH(1, (Raw_ESG!$A$2:$A$76="NMDC")*(Raw_ESG!$B$2:$B$76="2022"),0)+1),""))+(IFERROR(INDEX(Raw_ESG!$F$2:$F$76, MATCH(1, (Raw_ESG!$A$2:$A$76="NMDC")*(Raw_ESG!$B$2:$B$76="2022"),0)+1),"")))</f>
        <v>80205.260000000009</v>
      </c>
      <c r="N59" cm="1">
        <f t="array" ref="N59">IFERROR(INDEX(Raw_ESG!$G$2:$G$76, MATCH(1, (Raw_ESG!$A$2:$A$76="NMDC")*(Raw_ESG!$B$2:$B$76="2022"),0)+1),"")</f>
        <v>87.01</v>
      </c>
    </row>
    <row r="60" spans="1:14" x14ac:dyDescent="0.35">
      <c r="A60" t="s">
        <v>13</v>
      </c>
      <c r="B60" t="s">
        <v>36</v>
      </c>
      <c r="C60" cm="1">
        <f t="array" ref="C60">IF(OR(IFERROR(INDEX(Raw_Financials!$E$2:$E$76, MATCH(1, (Raw_Financials!$A$2:$A$76="NMDC")*(Raw_Financials!$B$2:$B$76="2023"),0)+1),"")="",IFERROR(INDEX(Raw_Financials!$D$2:$D$76, MATCH(1, (Raw_Financials!$A$2:$A$76="NMDC")*(Raw_Financials!$B$2:$B$76="2023"),0)+1),"")=""),"",(IFERROR(INDEX(Raw_Financials!$D$2:$D$76, MATCH(1, (Raw_Financials!$A$2:$A$76="NMDC")*(Raw_Financials!$B$2:$B$76="2023"),0)+1),""))/(IFERROR(INDEX(Raw_Financials!$E$2:$E$76, MATCH(1, (Raw_Financials!$A$2:$A$76="NMDC")*(Raw_Financials!$B$2:$B$76="2023"),0)+1),"")))</f>
        <v>8.3285332576158638E-2</v>
      </c>
      <c r="D60" cm="1">
        <f t="array" ref="D60">IF(OR(IFERROR(INDEX(Raw_Financials!$E$2:$E$76, MATCH(1, (Raw_Financials!$A$2:$A$76="NMDC")*(Raw_Financials!$B$2:$B$76="2023"),0)+1),"")="",IFERROR(INDEX(Raw_Financials!$C$2:$C$76, MATCH(1, (Raw_Financials!$A$2:$A$76="NMDC")*(Raw_Financials!$B$2:$B$76="2023"),0)+1),"")=""),"",(IFERROR(INDEX(Raw_Financials!$C$2:$C$76, MATCH(1, (Raw_Financials!$A$2:$A$76="NMDC")*(Raw_Financials!$B$2:$B$76="2023"),0)+1),""))/(IFERROR(INDEX(Raw_Financials!$E$2:$E$76, MATCH(1, (Raw_Financials!$A$2:$A$76="NMDC")*(Raw_Financials!$B$2:$B$76="2023"),0)+1),"")))</f>
        <v>0.30640314747693032</v>
      </c>
      <c r="E60" cm="1">
        <f t="array" ref="E60">IF(OR(IFERROR(INDEX(Raw_Financials!$G$2:$G$76, MATCH(1, (Raw_Financials!$A$2:$A$76="NMDC")*(Raw_Financials!$B$2:$B$76="2023"),0)+1),"")="",IFERROR(INDEX(Raw_Financials!$H$2:$H$76, MATCH(1, (Raw_Financials!$A$2:$A$76="NMDC")*(Raw_Financials!$B$2:$B$76="2023"),0)+1),"")=""),"",(IFERROR(INDEX(Raw_Financials!$G$2:$G$76, MATCH(1, (Raw_Financials!$A$2:$A$76="NMDC")*(Raw_Financials!$B$2:$B$76="2023"),0)+1),""))-(IFERROR(INDEX(Raw_Financials!$H$2:$H$76, MATCH(1, (Raw_Financials!$A$2:$A$76="NMDC")*(Raw_Financials!$B$2:$B$76="2023"),0)+1),"")))</f>
        <v>-6941.1200000000026</v>
      </c>
      <c r="F60" cm="1">
        <f t="array" ref="F60">IF(OR(IFERROR(INDEX(Raw_Financials!$C$2:$C$76, MATCH(1, (Raw_Financials!$A$2:$A$76="NMDC")*(Raw_Financials!$B$2:$B$76="2023"),0)+1),"")="",IF(OR(IFERROR(INDEX(Raw_Financials!$G$2:$G$76, MATCH(1, (Raw_Financials!$A$2:$A$76="NMDC")*(Raw_Financials!$B$2:$B$76="2023"),0)+1),"")="",IFERROR(INDEX(Raw_Financials!$H$2:$H$76, MATCH(1, (Raw_Financials!$A$2:$A$76="NMDC")*(Raw_Financials!$B$2:$B$76="2023"),0)+1),"")=""),"",(IFERROR(INDEX(Raw_Financials!$G$2:$G$76, MATCH(1, (Raw_Financials!$A$2:$A$76="NMDC")*(Raw_Financials!$B$2:$B$76="2023"),0)+1),""))-(IFERROR(INDEX(Raw_Financials!$H$2:$H$76, MATCH(1, (Raw_Financials!$A$2:$A$76="NMDC")*(Raw_Financials!$B$2:$B$76="2023"),0)+1),"")))=""),"",(IFERROR(INDEX(Raw_Financials!$C$2:$C$76, MATCH(1, (Raw_Financials!$A$2:$A$76="NMDC")*(Raw_Financials!$B$2:$B$76="2023"),0)+1),""))/(IF(OR(IFERROR(INDEX(Raw_Financials!$G$2:$G$76, MATCH(1, (Raw_Financials!$A$2:$A$76="NMDC")*(Raw_Financials!$B$2:$B$76="2023"),0)+1),"")="",IFERROR(INDEX(Raw_Financials!$H$2:$H$76, MATCH(1, (Raw_Financials!$A$2:$A$76="NMDC")*(Raw_Financials!$B$2:$B$76="2023"),0)+1),"")=""),"",(IFERROR(INDEX(Raw_Financials!$G$2:$G$76, MATCH(1, (Raw_Financials!$A$2:$A$76="NMDC")*(Raw_Financials!$B$2:$B$76="2023"),0)+1),""))-(IFERROR(INDEX(Raw_Financials!$H$2:$H$76, MATCH(1, (Raw_Financials!$A$2:$A$76="NMDC")*(Raw_Financials!$B$2:$B$76="2023"),0)+1),"")))))</f>
        <v>-4.8878610368355524</v>
      </c>
      <c r="G60" cm="1">
        <f t="array" ref="G60">IF(OR(IFERROR(INDEX(Raw_Financials!$O$2:$O$76, MATCH(1, (Raw_Financials!$A$2:$A$76="NMDC")*(Raw_Financials!$B$2:$B$76="2023"),0)+1),"")="",IFERROR(INDEX(Raw_Financials!$M$2:$M$76, MATCH(1, (Raw_Financials!$A$2:$A$76="NMDC")*(Raw_Financials!$B$2:$B$76="2023"),0)+1),"")=""),"",(IFERROR(INDEX(Raw_Financials!$O$2:$O$76, MATCH(1, (Raw_Financials!$A$2:$A$76="NMDC")*(Raw_Financials!$B$2:$B$76="2023"),0)+1),""))/(IFERROR(INDEX(Raw_Financials!$M$2:$M$76, MATCH(1, (Raw_Financials!$A$2:$A$76="NMDC")*(Raw_Financials!$B$2:$B$76="2023"),0)+1),"")))</f>
        <v>4.9516542562283279</v>
      </c>
      <c r="H60" cm="1">
        <f t="array" ref="H60">IF(OR(IFERROR(INDEX(Raw_Financials!$M$2:$M$76, MATCH(1, (Raw_Financials!$A$2:$A$76="NMDC")*(Raw_Financials!$B$2:$B$76="2023"),0)+1),"")="",IFERROR(INDEX(Raw_Financials!$L$2:$L$76, MATCH(1, (Raw_Financials!$A$2:$A$76="NMDC")*(Raw_Financials!$B$2:$B$76="2023"),0)+1),"")=""),"",(IFERROR(INDEX(Raw_Financials!$M$2:$M$76, MATCH(1, (Raw_Financials!$A$2:$A$76="NMDC")*(Raw_Financials!$B$2:$B$76="2023"),0)+1),""))/(IFERROR(INDEX(Raw_Financials!$L$2:$L$76, MATCH(1, (Raw_Financials!$A$2:$A$76="NMDC")*(Raw_Financials!$B$2:$B$76="2023"),0)+1),"")))</f>
        <v>2.4141527250562032</v>
      </c>
      <c r="I60" cm="1">
        <f t="array" ref="I60">IF(OR(IFERROR(INDEX(Raw_Financials!$N$2:$N$76, MATCH(1, (Raw_Financials!$A$2:$A$76="NMDC")*(Raw_Financials!$B$2:$B$76="2023"),0)+1),"")="",IFERROR(INDEX(Raw_Financials!$J$2:$J$76, MATCH(1, (Raw_Financials!$A$2:$A$76="NMDC")*(Raw_Financials!$B$2:$B$76="2023"),0)+1),"")=""),"",(IFERROR(INDEX(Raw_Financials!$N$2:$N$76, MATCH(1, (Raw_Financials!$A$2:$A$76="NMDC")*(Raw_Financials!$B$2:$B$76="2023"),0)+1),""))-(IFERROR(INDEX(Raw_Financials!$J$2:$J$76, MATCH(1, (Raw_Financials!$A$2:$A$76="NMDC")*(Raw_Financials!$B$2:$B$76="2023"),0)+1),"")))</f>
        <v>6526.489999999998</v>
      </c>
      <c r="J60" cm="1">
        <f t="array" ref="J60">IF(OR(IFERROR(INDEX(Raw_Financials!$M$2:$M$76, MATCH(1, (Raw_Financials!$A$2:$A$76="NMDC")*(Raw_Financials!$B$2:$B$76="2023"),0)+1),"")="",IFERROR(INDEX(Raw_Financials!$C$2:$C$76, MATCH(1, (Raw_Financials!$A$2:$A$76="NMDC")*(Raw_Financials!$B$2:$B$76="2023"),0)+1),"")=""),"",(IFERROR(INDEX(Raw_Financials!$M$2:$M$76, MATCH(1, (Raw_Financials!$A$2:$A$76="NMDC")*(Raw_Financials!$B$2:$B$76="2023"),0)+1),""))/(IFERROR(INDEX(Raw_Financials!$C$2:$C$76, MATCH(1, (Raw_Financials!$A$2:$A$76="NMDC")*(Raw_Financials!$B$2:$B$76="2023"),0)+1),"")))</f>
        <v>0.41558624149392681</v>
      </c>
      <c r="K60" cm="1">
        <f t="array" ref="K60">IF(OR(IFERROR(INDEX(Raw_ESG!$C$2:$C$76, MATCH(1, (Raw_ESG!$A$2:$A$76="NMDC")*(Raw_ESG!$B$2:$B$76="2023"),0)+1),"")="",IFERROR(INDEX(Raw_Financials!$J$2:$J$76, MATCH(1, (Raw_Financials!$A$2:$A$76="NMDC")*(Raw_Financials!$B$2:$B$76="2023"),0)+1),"")=""),"",(IFERROR(INDEX(Raw_ESG!$C$2:$C$76, MATCH(1, (Raw_ESG!$A$2:$A$76="NMDC")*(Raw_ESG!$B$2:$B$76="2023"),0)+1),""))/(IFERROR(INDEX(Raw_Financials!$J$2:$J$76, MATCH(1, (Raw_Financials!$A$2:$A$76="NMDC")*(Raw_Financials!$B$2:$B$76="2023"),0)+1),"")))</f>
        <v>0.31022312098750576</v>
      </c>
      <c r="L60" cm="1">
        <f t="array" ref="L60">IF(OR(IFERROR(INDEX(Raw_ESG!$D$2:$D$76, MATCH(1, (Raw_ESG!$A$2:$A$76="NMDC")*(Raw_ESG!$B$2:$B$76="2023"),0)+1),"")="",IFERROR(INDEX(Raw_Financials!$E$2:$E$76, MATCH(1, (Raw_Financials!$A$2:$A$76="NMDC")*(Raw_Financials!$B$2:$B$76="2023"),0)+1),"")=""),"",(IFERROR(INDEX(Raw_ESG!$D$2:$D$76, MATCH(1, (Raw_ESG!$A$2:$A$76="NMDC")*(Raw_ESG!$B$2:$B$76="2023"),0)+1),""))/(IFERROR(INDEX(Raw_Financials!$E$2:$E$76, MATCH(1, (Raw_Financials!$A$2:$A$76="NMDC")*(Raw_Financials!$B$2:$B$76="2023"),0)+1),"")))</f>
        <v>0.26062370097668669</v>
      </c>
      <c r="M60" cm="1">
        <f t="array" ref="M60">IF(OR(IFERROR(INDEX(Raw_ESG!$E$2:$E$76, MATCH(1, (Raw_ESG!$A$2:$A$76="NMDC")*(Raw_ESG!$B$2:$B$76="2023"),0)+1),"")="",IFERROR(INDEX(Raw_ESG!$F$2:$F$76, MATCH(1, (Raw_ESG!$A$2:$A$76="NMDC")*(Raw_ESG!$B$2:$B$76="2023"),0)+1),"")=""),"",(IFERROR(INDEX(Raw_ESG!$E$2:$E$76, MATCH(1, (Raw_ESG!$A$2:$A$76="NMDC")*(Raw_ESG!$B$2:$B$76="2023"),0)+1),""))+(IFERROR(INDEX(Raw_ESG!$F$2:$F$76, MATCH(1, (Raw_ESG!$A$2:$A$76="NMDC")*(Raw_ESG!$B$2:$B$76="2023"),0)+1),"")))</f>
        <v>119994.82</v>
      </c>
      <c r="N60" cm="1">
        <f t="array" ref="N60">IFERROR(INDEX(Raw_ESG!$G$2:$G$76, MATCH(1, (Raw_ESG!$A$2:$A$76="NMDC")*(Raw_ESG!$B$2:$B$76="2023"),0)+1),"")</f>
        <v>68.77</v>
      </c>
    </row>
    <row r="61" spans="1:14" x14ac:dyDescent="0.35">
      <c r="A61" t="s">
        <v>13</v>
      </c>
      <c r="B61" t="s">
        <v>37</v>
      </c>
      <c r="C61" cm="1">
        <f t="array" ref="C61">IF(OR(IFERROR(INDEX(Raw_Financials!$E$2:$E$76, MATCH(1, (Raw_Financials!$A$2:$A$76="NMDC")*(Raw_Financials!$B$2:$B$76="2024"),0)+1),"")="",IFERROR(INDEX(Raw_Financials!$D$2:$D$76, MATCH(1, (Raw_Financials!$A$2:$A$76="NMDC")*(Raw_Financials!$B$2:$B$76="2024"),0)+1),"")=""),"",(IFERROR(INDEX(Raw_Financials!$D$2:$D$76, MATCH(1, (Raw_Financials!$A$2:$A$76="NMDC")*(Raw_Financials!$B$2:$B$76="2024"),0)+1),""))/(IFERROR(INDEX(Raw_Financials!$E$2:$E$76, MATCH(1, (Raw_Financials!$A$2:$A$76="NMDC")*(Raw_Financials!$B$2:$B$76="2024"),0)+1),"")))</f>
        <v>4.1209673853195392E-2</v>
      </c>
      <c r="D61" cm="1">
        <f t="array" ref="D61">IF(OR(IFERROR(INDEX(Raw_Financials!$E$2:$E$76, MATCH(1, (Raw_Financials!$A$2:$A$76="NMDC")*(Raw_Financials!$B$2:$B$76="2024"),0)+1),"")="",IFERROR(INDEX(Raw_Financials!$C$2:$C$76, MATCH(1, (Raw_Financials!$A$2:$A$76="NMDC")*(Raw_Financials!$B$2:$B$76="2024"),0)+1),"")=""),"",(IFERROR(INDEX(Raw_Financials!$C$2:$C$76, MATCH(1, (Raw_Financials!$A$2:$A$76="NMDC")*(Raw_Financials!$B$2:$B$76="2024"),0)+1),""))/(IFERROR(INDEX(Raw_Financials!$E$2:$E$76, MATCH(1, (Raw_Financials!$A$2:$A$76="NMDC")*(Raw_Financials!$B$2:$B$76="2024"),0)+1),"")))</f>
        <v>0.34627206567469532</v>
      </c>
      <c r="E61" cm="1">
        <f t="array" ref="E61">IF(OR(IFERROR(INDEX(Raw_Financials!$G$2:$G$76, MATCH(1, (Raw_Financials!$A$2:$A$76="NMDC")*(Raw_Financials!$B$2:$B$76="2024"),0)+1),"")="",IFERROR(INDEX(Raw_Financials!$H$2:$H$76, MATCH(1, (Raw_Financials!$A$2:$A$76="NMDC")*(Raw_Financials!$B$2:$B$76="2024"),0)+1),"")=""),"",(IFERROR(INDEX(Raw_Financials!$G$2:$G$76, MATCH(1, (Raw_Financials!$A$2:$A$76="NMDC")*(Raw_Financials!$B$2:$B$76="2024"),0)+1),""))-(IFERROR(INDEX(Raw_Financials!$H$2:$H$76, MATCH(1, (Raw_Financials!$A$2:$A$76="NMDC")*(Raw_Financials!$B$2:$B$76="2024"),0)+1),"")))</f>
        <v>-4923.1699999999983</v>
      </c>
      <c r="F61" cm="1">
        <f t="array" ref="F61">IF(OR(IFERROR(INDEX(Raw_Financials!$C$2:$C$76, MATCH(1, (Raw_Financials!$A$2:$A$76="NMDC")*(Raw_Financials!$B$2:$B$76="2024"),0)+1),"")="",IF(OR(IFERROR(INDEX(Raw_Financials!$G$2:$G$76, MATCH(1, (Raw_Financials!$A$2:$A$76="NMDC")*(Raw_Financials!$B$2:$B$76="2024"),0)+1),"")="",IFERROR(INDEX(Raw_Financials!$H$2:$H$76, MATCH(1, (Raw_Financials!$A$2:$A$76="NMDC")*(Raw_Financials!$B$2:$B$76="2024"),0)+1),"")=""),"",(IFERROR(INDEX(Raw_Financials!$G$2:$G$76, MATCH(1, (Raw_Financials!$A$2:$A$76="NMDC")*(Raw_Financials!$B$2:$B$76="2024"),0)+1),""))-(IFERROR(INDEX(Raw_Financials!$H$2:$H$76, MATCH(1, (Raw_Financials!$A$2:$A$76="NMDC")*(Raw_Financials!$B$2:$B$76="2024"),0)+1),"")))=""),"",(IFERROR(INDEX(Raw_Financials!$C$2:$C$76, MATCH(1, (Raw_Financials!$A$2:$A$76="NMDC")*(Raw_Financials!$B$2:$B$76="2024"),0)+1),""))/(IF(OR(IFERROR(INDEX(Raw_Financials!$G$2:$G$76, MATCH(1, (Raw_Financials!$A$2:$A$76="NMDC")*(Raw_Financials!$B$2:$B$76="2024"),0)+1),"")="",IFERROR(INDEX(Raw_Financials!$H$2:$H$76, MATCH(1, (Raw_Financials!$A$2:$A$76="NMDC")*(Raw_Financials!$B$2:$B$76="2024"),0)+1),"")=""),"",(IFERROR(INDEX(Raw_Financials!$G$2:$G$76, MATCH(1, (Raw_Financials!$A$2:$A$76="NMDC")*(Raw_Financials!$B$2:$B$76="2024"),0)+1),""))-(IFERROR(INDEX(Raw_Financials!$H$2:$H$76, MATCH(1, (Raw_Financials!$A$2:$A$76="NMDC")*(Raw_Financials!$B$2:$B$76="2024"),0)+1),"")))))</f>
        <v>-7.1893332954173852</v>
      </c>
      <c r="G61" cm="1">
        <f t="array" ref="G61">IF(OR(IFERROR(INDEX(Raw_Financials!$O$2:$O$76, MATCH(1, (Raw_Financials!$A$2:$A$76="NMDC")*(Raw_Financials!$B$2:$B$76="2024"),0)+1),"")="",IFERROR(INDEX(Raw_Financials!$M$2:$M$76, MATCH(1, (Raw_Financials!$A$2:$A$76="NMDC")*(Raw_Financials!$B$2:$B$76="2024"),0)+1),"")=""),"",(IFERROR(INDEX(Raw_Financials!$O$2:$O$76, MATCH(1, (Raw_Financials!$A$2:$A$76="NMDC")*(Raw_Financials!$B$2:$B$76="2024"),0)+1),""))/(IFERROR(INDEX(Raw_Financials!$M$2:$M$76, MATCH(1, (Raw_Financials!$A$2:$A$76="NMDC")*(Raw_Financials!$B$2:$B$76="2024"),0)+1),"")))</f>
        <v>2.5776257801787588</v>
      </c>
      <c r="H61" cm="1">
        <f t="array" ref="H61">IF(OR(IFERROR(INDEX(Raw_Financials!$M$2:$M$76, MATCH(1, (Raw_Financials!$A$2:$A$76="NMDC")*(Raw_Financials!$B$2:$B$76="2024"),0)+1),"")="",IFERROR(INDEX(Raw_Financials!$L$2:$L$76, MATCH(1, (Raw_Financials!$A$2:$A$76="NMDC")*(Raw_Financials!$B$2:$B$76="2024"),0)+1),"")=""),"",(IFERROR(INDEX(Raw_Financials!$M$2:$M$76, MATCH(1, (Raw_Financials!$A$2:$A$76="NMDC")*(Raw_Financials!$B$2:$B$76="2024"),0)+1),""))/(IFERROR(INDEX(Raw_Financials!$L$2:$L$76, MATCH(1, (Raw_Financials!$A$2:$A$76="NMDC")*(Raw_Financials!$B$2:$B$76="2024"),0)+1),"")))</f>
        <v>4.9576215311722747</v>
      </c>
      <c r="I61" cm="1">
        <f t="array" ref="I61">IF(OR(IFERROR(INDEX(Raw_Financials!$N$2:$N$76, MATCH(1, (Raw_Financials!$A$2:$A$76="NMDC")*(Raw_Financials!$B$2:$B$76="2024"),0)+1),"")="",IFERROR(INDEX(Raw_Financials!$J$2:$J$76, MATCH(1, (Raw_Financials!$A$2:$A$76="NMDC")*(Raw_Financials!$B$2:$B$76="2024"),0)+1),"")=""),"",(IFERROR(INDEX(Raw_Financials!$N$2:$N$76, MATCH(1, (Raw_Financials!$A$2:$A$76="NMDC")*(Raw_Financials!$B$2:$B$76="2024"),0)+1),""))-(IFERROR(INDEX(Raw_Financials!$J$2:$J$76, MATCH(1, (Raw_Financials!$A$2:$A$76="NMDC")*(Raw_Financials!$B$2:$B$76="2024"),0)+1),"")))</f>
        <v>10783.42</v>
      </c>
      <c r="J61" cm="1">
        <f t="array" ref="J61">IF(OR(IFERROR(INDEX(Raw_Financials!$M$2:$M$76, MATCH(1, (Raw_Financials!$A$2:$A$76="NMDC")*(Raw_Financials!$B$2:$B$76="2024"),0)+1),"")="",IFERROR(INDEX(Raw_Financials!$C$2:$C$76, MATCH(1, (Raw_Financials!$A$2:$A$76="NMDC")*(Raw_Financials!$B$2:$B$76="2024"),0)+1),"")=""),"",(IFERROR(INDEX(Raw_Financials!$M$2:$M$76, MATCH(1, (Raw_Financials!$A$2:$A$76="NMDC")*(Raw_Financials!$B$2:$B$76="2024"),0)+1),""))/(IFERROR(INDEX(Raw_Financials!$C$2:$C$76, MATCH(1, (Raw_Financials!$A$2:$A$76="NMDC")*(Raw_Financials!$B$2:$B$76="2024"),0)+1),"")))</f>
        <v>0.61608490178223574</v>
      </c>
      <c r="K61" cm="1">
        <f t="array" ref="K61">IF(OR(IFERROR(INDEX(Raw_ESG!$C$2:$C$76, MATCH(1, (Raw_ESG!$A$2:$A$76="NMDC")*(Raw_ESG!$B$2:$B$76="2024"),0)+1),"")="",IFERROR(INDEX(Raw_Financials!$J$2:$J$76, MATCH(1, (Raw_Financials!$A$2:$A$76="NMDC")*(Raw_Financials!$B$2:$B$76="2024"),0)+1),"")=""),"",(IFERROR(INDEX(Raw_ESG!$C$2:$C$76, MATCH(1, (Raw_ESG!$A$2:$A$76="NMDC")*(Raw_ESG!$B$2:$B$76="2024"),0)+1),""))/(IFERROR(INDEX(Raw_Financials!$J$2:$J$76, MATCH(1, (Raw_Financials!$A$2:$A$76="NMDC")*(Raw_Financials!$B$2:$B$76="2024"),0)+1),"")))</f>
        <v>0.52783324641816454</v>
      </c>
      <c r="L61" cm="1">
        <f t="array" ref="L61">IF(OR(IFERROR(INDEX(Raw_ESG!$D$2:$D$76, MATCH(1, (Raw_ESG!$A$2:$A$76="NMDC")*(Raw_ESG!$B$2:$B$76="2024"),0)+1),"")="",IFERROR(INDEX(Raw_Financials!$E$2:$E$76, MATCH(1, (Raw_Financials!$A$2:$A$76="NMDC")*(Raw_Financials!$B$2:$B$76="2024"),0)+1),"")=""),"",(IFERROR(INDEX(Raw_ESG!$D$2:$D$76, MATCH(1, (Raw_ESG!$A$2:$A$76="NMDC")*(Raw_ESG!$B$2:$B$76="2024"),0)+1),""))/(IFERROR(INDEX(Raw_Financials!$E$2:$E$76, MATCH(1, (Raw_Financials!$A$2:$A$76="NMDC")*(Raw_Financials!$B$2:$B$76="2024"),0)+1),"")))</f>
        <v>0.16107233240574897</v>
      </c>
      <c r="M61" cm="1">
        <f t="array" ref="M61">IF(OR(IFERROR(INDEX(Raw_ESG!$E$2:$E$76, MATCH(1, (Raw_ESG!$A$2:$A$76="NMDC")*(Raw_ESG!$B$2:$B$76="2024"),0)+1),"")="",IFERROR(INDEX(Raw_ESG!$F$2:$F$76, MATCH(1, (Raw_ESG!$A$2:$A$76="NMDC")*(Raw_ESG!$B$2:$B$76="2024"),0)+1),"")=""),"",(IFERROR(INDEX(Raw_ESG!$E$2:$E$76, MATCH(1, (Raw_ESG!$A$2:$A$76="NMDC")*(Raw_ESG!$B$2:$B$76="2024"),0)+1),""))+(IFERROR(INDEX(Raw_ESG!$F$2:$F$76, MATCH(1, (Raw_ESG!$A$2:$A$76="NMDC")*(Raw_ESG!$B$2:$B$76="2024"),0)+1),"")))</f>
        <v>131670.49</v>
      </c>
      <c r="N61" cm="1">
        <f t="array" ref="N61">IFERROR(INDEX(Raw_ESG!$G$2:$G$76, MATCH(1, (Raw_ESG!$A$2:$A$76="NMDC")*(Raw_ESG!$B$2:$B$76="2024"),0)+1),"")</f>
        <v>59.41</v>
      </c>
    </row>
    <row r="62" spans="1:14" x14ac:dyDescent="0.35">
      <c r="A62" t="s">
        <v>14</v>
      </c>
      <c r="B62" t="s">
        <v>33</v>
      </c>
      <c r="C62" cm="1">
        <f t="array" ref="C62">IF(OR(IFERROR(INDEX(Raw_Financials!$E$2:$E$76, MATCH(1, (Raw_Financials!$A$2:$A$76="Coal India")*(Raw_Financials!$B$2:$B$76="2020"),0)+1),"")="",IFERROR(INDEX(Raw_Financials!$D$2:$D$76, MATCH(1, (Raw_Financials!$A$2:$A$76="Coal India")*(Raw_Financials!$B$2:$B$76="2020"),0)+1),"")=""),"",(IFERROR(INDEX(Raw_Financials!$D$2:$D$76, MATCH(1, (Raw_Financials!$A$2:$A$76="Coal India")*(Raw_Financials!$B$2:$B$76="2020"),0)+1),""))/(IFERROR(INDEX(Raw_Financials!$E$2:$E$76, MATCH(1, (Raw_Financials!$A$2:$A$76="Coal India")*(Raw_Financials!$B$2:$B$76="2020"),0)+1),"")))</f>
        <v>2.9252950273395067E-2</v>
      </c>
      <c r="D62" cm="1">
        <f t="array" ref="D62">IF(OR(IFERROR(INDEX(Raw_Financials!$E$2:$E$76, MATCH(1, (Raw_Financials!$A$2:$A$76="Coal India")*(Raw_Financials!$B$2:$B$76="2020"),0)+1),"")="",IFERROR(INDEX(Raw_Financials!$C$2:$C$76, MATCH(1, (Raw_Financials!$A$2:$A$76="Coal India")*(Raw_Financials!$B$2:$B$76="2020"),0)+1),"")=""),"",(IFERROR(INDEX(Raw_Financials!$C$2:$C$76, MATCH(1, (Raw_Financials!$A$2:$A$76="Coal India")*(Raw_Financials!$B$2:$B$76="2020"),0)+1),""))/(IFERROR(INDEX(Raw_Financials!$E$2:$E$76, MATCH(1, (Raw_Financials!$A$2:$A$76="Coal India")*(Raw_Financials!$B$2:$B$76="2020"),0)+1),"")))</f>
        <v>0.21543131063939466</v>
      </c>
      <c r="E62" cm="1">
        <f t="array" ref="E62">IF(OR(IFERROR(INDEX(Raw_Financials!$G$2:$G$76, MATCH(1, (Raw_Financials!$A$2:$A$76="Coal India")*(Raw_Financials!$B$2:$B$76="2020"),0)+1),"")="",IFERROR(INDEX(Raw_Financials!$H$2:$H$76, MATCH(1, (Raw_Financials!$A$2:$A$76="Coal India")*(Raw_Financials!$B$2:$B$76="2020"),0)+1),"")=""),"",(IFERROR(INDEX(Raw_Financials!$G$2:$G$76, MATCH(1, (Raw_Financials!$A$2:$A$76="Coal India")*(Raw_Financials!$B$2:$B$76="2020"),0)+1),""))-(IFERROR(INDEX(Raw_Financials!$H$2:$H$76, MATCH(1, (Raw_Financials!$A$2:$A$76="Coal India")*(Raw_Financials!$B$2:$B$76="2020"),0)+1),"")))</f>
        <v>-15449.510000000002</v>
      </c>
      <c r="F62" cm="1">
        <f t="array" ref="F62">IF(OR(IFERROR(INDEX(Raw_Financials!$C$2:$C$76, MATCH(1, (Raw_Financials!$A$2:$A$76="Coal India")*(Raw_Financials!$B$2:$B$76="2020"),0)+1),"")="",IF(OR(IFERROR(INDEX(Raw_Financials!$G$2:$G$76, MATCH(1, (Raw_Financials!$A$2:$A$76="Coal India")*(Raw_Financials!$B$2:$B$76="2020"),0)+1),"")="",IFERROR(INDEX(Raw_Financials!$H$2:$H$76, MATCH(1, (Raw_Financials!$A$2:$A$76="Coal India")*(Raw_Financials!$B$2:$B$76="2020"),0)+1),"")=""),"",(IFERROR(INDEX(Raw_Financials!$G$2:$G$76, MATCH(1, (Raw_Financials!$A$2:$A$76="Coal India")*(Raw_Financials!$B$2:$B$76="2020"),0)+1),""))-(IFERROR(INDEX(Raw_Financials!$H$2:$H$76, MATCH(1, (Raw_Financials!$A$2:$A$76="Coal India")*(Raw_Financials!$B$2:$B$76="2020"),0)+1),"")))=""),"",(IFERROR(INDEX(Raw_Financials!$C$2:$C$76, MATCH(1, (Raw_Financials!$A$2:$A$76="Coal India")*(Raw_Financials!$B$2:$B$76="2020"),0)+1),""))/(IF(OR(IFERROR(INDEX(Raw_Financials!$G$2:$G$76, MATCH(1, (Raw_Financials!$A$2:$A$76="Coal India")*(Raw_Financials!$B$2:$B$76="2020"),0)+1),"")="",IFERROR(INDEX(Raw_Financials!$H$2:$H$76, MATCH(1, (Raw_Financials!$A$2:$A$76="Coal India")*(Raw_Financials!$B$2:$B$76="2020"),0)+1),"")=""),"",(IFERROR(INDEX(Raw_Financials!$G$2:$G$76, MATCH(1, (Raw_Financials!$A$2:$A$76="Coal India")*(Raw_Financials!$B$2:$B$76="2020"),0)+1),""))-(IFERROR(INDEX(Raw_Financials!$H$2:$H$76, MATCH(1, (Raw_Financials!$A$2:$A$76="Coal India")*(Raw_Financials!$B$2:$B$76="2020"),0)+1),"")))))</f>
        <v>-3.0296320077465237</v>
      </c>
      <c r="G62" cm="1">
        <f t="array" ref="G62">IF(OR(IFERROR(INDEX(Raw_Financials!$O$2:$O$76, MATCH(1, (Raw_Financials!$A$2:$A$76="Coal India")*(Raw_Financials!$B$2:$B$76="2020"),0)+1),"")="",IFERROR(INDEX(Raw_Financials!$M$2:$M$76, MATCH(1, (Raw_Financials!$A$2:$A$76="Coal India")*(Raw_Financials!$B$2:$B$76="2020"),0)+1),"")=""),"",(IFERROR(INDEX(Raw_Financials!$O$2:$O$76, MATCH(1, (Raw_Financials!$A$2:$A$76="Coal India")*(Raw_Financials!$B$2:$B$76="2020"),0)+1),""))/(IFERROR(INDEX(Raw_Financials!$M$2:$M$76, MATCH(1, (Raw_Financials!$A$2:$A$76="Coal India")*(Raw_Financials!$B$2:$B$76="2020"),0)+1),"")))</f>
        <v>4.9841866367319048</v>
      </c>
      <c r="H62" cm="1">
        <f t="array" ref="H62">IF(OR(IFERROR(INDEX(Raw_Financials!$M$2:$M$76, MATCH(1, (Raw_Financials!$A$2:$A$76="Coal India")*(Raw_Financials!$B$2:$B$76="2020"),0)+1),"")="",IFERROR(INDEX(Raw_Financials!$L$2:$L$76, MATCH(1, (Raw_Financials!$A$2:$A$76="Coal India")*(Raw_Financials!$B$2:$B$76="2020"),0)+1),"")=""),"",(IFERROR(INDEX(Raw_Financials!$M$2:$M$76, MATCH(1, (Raw_Financials!$A$2:$A$76="Coal India")*(Raw_Financials!$B$2:$B$76="2020"),0)+1),""))/(IFERROR(INDEX(Raw_Financials!$L$2:$L$76, MATCH(1, (Raw_Financials!$A$2:$A$76="Coal India")*(Raw_Financials!$B$2:$B$76="2020"),0)+1),"")))</f>
        <v>2.2588049899806966</v>
      </c>
      <c r="I62" cm="1">
        <f t="array" ref="I62">IF(OR(IFERROR(INDEX(Raw_Financials!$N$2:$N$76, MATCH(1, (Raw_Financials!$A$2:$A$76="Coal India")*(Raw_Financials!$B$2:$B$76="2020"),0)+1),"")="",IFERROR(INDEX(Raw_Financials!$J$2:$J$76, MATCH(1, (Raw_Financials!$A$2:$A$76="Coal India")*(Raw_Financials!$B$2:$B$76="2020"),0)+1),"")=""),"",(IFERROR(INDEX(Raw_Financials!$N$2:$N$76, MATCH(1, (Raw_Financials!$A$2:$A$76="Coal India")*(Raw_Financials!$B$2:$B$76="2020"),0)+1),""))-(IFERROR(INDEX(Raw_Financials!$J$2:$J$76, MATCH(1, (Raw_Financials!$A$2:$A$76="Coal India")*(Raw_Financials!$B$2:$B$76="2020"),0)+1),"")))</f>
        <v>5271.41</v>
      </c>
      <c r="J62" cm="1">
        <f t="array" ref="J62">IF(OR(IFERROR(INDEX(Raw_Financials!$M$2:$M$76, MATCH(1, (Raw_Financials!$A$2:$A$76="Coal India")*(Raw_Financials!$B$2:$B$76="2020"),0)+1),"")="",IFERROR(INDEX(Raw_Financials!$C$2:$C$76, MATCH(1, (Raw_Financials!$A$2:$A$76="Coal India")*(Raw_Financials!$B$2:$B$76="2020"),0)+1),"")=""),"",(IFERROR(INDEX(Raw_Financials!$M$2:$M$76, MATCH(1, (Raw_Financials!$A$2:$A$76="Coal India")*(Raw_Financials!$B$2:$B$76="2020"),0)+1),""))/(IFERROR(INDEX(Raw_Financials!$C$2:$C$76, MATCH(1, (Raw_Financials!$A$2:$A$76="Coal India")*(Raw_Financials!$B$2:$B$76="2020"),0)+1),"")))</f>
        <v>0.22324736846490634</v>
      </c>
      <c r="K62" cm="1">
        <f t="array" ref="K62">IF(OR(IFERROR(INDEX(Raw_ESG!$C$2:$C$76, MATCH(1, (Raw_ESG!$A$2:$A$76="Coal India")*(Raw_ESG!$B$2:$B$76="2020"),0)+1),"")="",IFERROR(INDEX(Raw_Financials!$J$2:$J$76, MATCH(1, (Raw_Financials!$A$2:$A$76="Coal India")*(Raw_Financials!$B$2:$B$76="2020"),0)+1),"")=""),"",(IFERROR(INDEX(Raw_ESG!$C$2:$C$76, MATCH(1, (Raw_ESG!$A$2:$A$76="Coal India")*(Raw_ESG!$B$2:$B$76="2020"),0)+1),""))/(IFERROR(INDEX(Raw_Financials!$J$2:$J$76, MATCH(1, (Raw_Financials!$A$2:$A$76="Coal India")*(Raw_Financials!$B$2:$B$76="2020"),0)+1),"")))</f>
        <v>0.27655834992169526</v>
      </c>
      <c r="L62" cm="1">
        <f t="array" ref="L62">IF(OR(IFERROR(INDEX(Raw_ESG!$D$2:$D$76, MATCH(1, (Raw_ESG!$A$2:$A$76="Coal India")*(Raw_ESG!$B$2:$B$76="2020"),0)+1),"")="",IFERROR(INDEX(Raw_Financials!$E$2:$E$76, MATCH(1, (Raw_Financials!$A$2:$A$76="Coal India")*(Raw_Financials!$B$2:$B$76="2020"),0)+1),"")=""),"",(IFERROR(INDEX(Raw_ESG!$D$2:$D$76, MATCH(1, (Raw_ESG!$A$2:$A$76="Coal India")*(Raw_ESG!$B$2:$B$76="2020"),0)+1),""))/(IFERROR(INDEX(Raw_Financials!$E$2:$E$76, MATCH(1, (Raw_Financials!$A$2:$A$76="Coal India")*(Raw_Financials!$B$2:$B$76="2020"),0)+1),"")))</f>
        <v>9.3781919104516082E-2</v>
      </c>
      <c r="M62" cm="1">
        <f t="array" ref="M62">IF(OR(IFERROR(INDEX(Raw_ESG!$E$2:$E$76, MATCH(1, (Raw_ESG!$A$2:$A$76="Coal India")*(Raw_ESG!$B$2:$B$76="2020"),0)+1),"")="",IFERROR(INDEX(Raw_ESG!$F$2:$F$76, MATCH(1, (Raw_ESG!$A$2:$A$76="Coal India")*(Raw_ESG!$B$2:$B$76="2020"),0)+1),"")=""),"",(IFERROR(INDEX(Raw_ESG!$E$2:$E$76, MATCH(1, (Raw_ESG!$A$2:$A$76="Coal India")*(Raw_ESG!$B$2:$B$76="2020"),0)+1),""))+(IFERROR(INDEX(Raw_ESG!$F$2:$F$76, MATCH(1, (Raw_ESG!$A$2:$A$76="Coal India")*(Raw_ESG!$B$2:$B$76="2020"),0)+1),"")))</f>
        <v>167469.42000000001</v>
      </c>
      <c r="N62" cm="1">
        <f t="array" ref="N62">IFERROR(INDEX(Raw_ESG!$G$2:$G$76, MATCH(1, (Raw_ESG!$A$2:$A$76="Coal India")*(Raw_ESG!$B$2:$B$76="2020"),0)+1),"")</f>
        <v>72.16</v>
      </c>
    </row>
    <row r="63" spans="1:14" x14ac:dyDescent="0.35">
      <c r="A63" t="s">
        <v>14</v>
      </c>
      <c r="B63" t="s">
        <v>34</v>
      </c>
      <c r="C63" cm="1">
        <f t="array" ref="C63">IF(OR(IFERROR(INDEX(Raw_Financials!$E$2:$E$76, MATCH(1, (Raw_Financials!$A$2:$A$76="Coal India")*(Raw_Financials!$B$2:$B$76="2021"),0)+1),"")="",IFERROR(INDEX(Raw_Financials!$D$2:$D$76, MATCH(1, (Raw_Financials!$A$2:$A$76="Coal India")*(Raw_Financials!$B$2:$B$76="2021"),0)+1),"")=""),"",(IFERROR(INDEX(Raw_Financials!$D$2:$D$76, MATCH(1, (Raw_Financials!$A$2:$A$76="Coal India")*(Raw_Financials!$B$2:$B$76="2021"),0)+1),""))/(IFERROR(INDEX(Raw_Financials!$E$2:$E$76, MATCH(1, (Raw_Financials!$A$2:$A$76="Coal India")*(Raw_Financials!$B$2:$B$76="2021"),0)+1),"")))</f>
        <v>4.796292181907752E-2</v>
      </c>
      <c r="D63" cm="1">
        <f t="array" ref="D63">IF(OR(IFERROR(INDEX(Raw_Financials!$E$2:$E$76, MATCH(1, (Raw_Financials!$A$2:$A$76="Coal India")*(Raw_Financials!$B$2:$B$76="2021"),0)+1),"")="",IFERROR(INDEX(Raw_Financials!$C$2:$C$76, MATCH(1, (Raw_Financials!$A$2:$A$76="Coal India")*(Raw_Financials!$B$2:$B$76="2021"),0)+1),"")=""),"",(IFERROR(INDEX(Raw_Financials!$C$2:$C$76, MATCH(1, (Raw_Financials!$A$2:$A$76="Coal India")*(Raw_Financials!$B$2:$B$76="2021"),0)+1),""))/(IFERROR(INDEX(Raw_Financials!$E$2:$E$76, MATCH(1, (Raw_Financials!$A$2:$A$76="Coal India")*(Raw_Financials!$B$2:$B$76="2021"),0)+1),"")))</f>
        <v>0.14357204985728711</v>
      </c>
      <c r="E63" cm="1">
        <f t="array" ref="E63">IF(OR(IFERROR(INDEX(Raw_Financials!$G$2:$G$76, MATCH(1, (Raw_Financials!$A$2:$A$76="Coal India")*(Raw_Financials!$B$2:$B$76="2021"),0)+1),"")="",IFERROR(INDEX(Raw_Financials!$H$2:$H$76, MATCH(1, (Raw_Financials!$A$2:$A$76="Coal India")*(Raw_Financials!$B$2:$B$76="2021"),0)+1),"")=""),"",(IFERROR(INDEX(Raw_Financials!$G$2:$G$76, MATCH(1, (Raw_Financials!$A$2:$A$76="Coal India")*(Raw_Financials!$B$2:$B$76="2021"),0)+1),""))-(IFERROR(INDEX(Raw_Financials!$H$2:$H$76, MATCH(1, (Raw_Financials!$A$2:$A$76="Coal India")*(Raw_Financials!$B$2:$B$76="2021"),0)+1),"")))</f>
        <v>3697.9499999999971</v>
      </c>
      <c r="F63" cm="1">
        <f t="array" ref="F63">IF(OR(IFERROR(INDEX(Raw_Financials!$C$2:$C$76, MATCH(1, (Raw_Financials!$A$2:$A$76="Coal India")*(Raw_Financials!$B$2:$B$76="2021"),0)+1),"")="",IF(OR(IFERROR(INDEX(Raw_Financials!$G$2:$G$76, MATCH(1, (Raw_Financials!$A$2:$A$76="Coal India")*(Raw_Financials!$B$2:$B$76="2021"),0)+1),"")="",IFERROR(INDEX(Raw_Financials!$H$2:$H$76, MATCH(1, (Raw_Financials!$A$2:$A$76="Coal India")*(Raw_Financials!$B$2:$B$76="2021"),0)+1),"")=""),"",(IFERROR(INDEX(Raw_Financials!$G$2:$G$76, MATCH(1, (Raw_Financials!$A$2:$A$76="Coal India")*(Raw_Financials!$B$2:$B$76="2021"),0)+1),""))-(IFERROR(INDEX(Raw_Financials!$H$2:$H$76, MATCH(1, (Raw_Financials!$A$2:$A$76="Coal India")*(Raw_Financials!$B$2:$B$76="2021"),0)+1),"")))=""),"",(IFERROR(INDEX(Raw_Financials!$C$2:$C$76, MATCH(1, (Raw_Financials!$A$2:$A$76="Coal India")*(Raw_Financials!$B$2:$B$76="2021"),0)+1),""))/(IF(OR(IFERROR(INDEX(Raw_Financials!$G$2:$G$76, MATCH(1, (Raw_Financials!$A$2:$A$76="Coal India")*(Raw_Financials!$B$2:$B$76="2021"),0)+1),"")="",IFERROR(INDEX(Raw_Financials!$H$2:$H$76, MATCH(1, (Raw_Financials!$A$2:$A$76="Coal India")*(Raw_Financials!$B$2:$B$76="2021"),0)+1),"")=""),"",(IFERROR(INDEX(Raw_Financials!$G$2:$G$76, MATCH(1, (Raw_Financials!$A$2:$A$76="Coal India")*(Raw_Financials!$B$2:$B$76="2021"),0)+1),""))-(IFERROR(INDEX(Raw_Financials!$H$2:$H$76, MATCH(1, (Raw_Financials!$A$2:$A$76="Coal India")*(Raw_Financials!$B$2:$B$76="2021"),0)+1),"")))))</f>
        <v>8.6447355967495572</v>
      </c>
      <c r="G63" cm="1">
        <f t="array" ref="G63">IF(OR(IFERROR(INDEX(Raw_Financials!$O$2:$O$76, MATCH(1, (Raw_Financials!$A$2:$A$76="Coal India")*(Raw_Financials!$B$2:$B$76="2021"),0)+1),"")="",IFERROR(INDEX(Raw_Financials!$M$2:$M$76, MATCH(1, (Raw_Financials!$A$2:$A$76="Coal India")*(Raw_Financials!$B$2:$B$76="2021"),0)+1),"")=""),"",(IFERROR(INDEX(Raw_Financials!$O$2:$O$76, MATCH(1, (Raw_Financials!$A$2:$A$76="Coal India")*(Raw_Financials!$B$2:$B$76="2021"),0)+1),""))/(IFERROR(INDEX(Raw_Financials!$M$2:$M$76, MATCH(1, (Raw_Financials!$A$2:$A$76="Coal India")*(Raw_Financials!$B$2:$B$76="2021"),0)+1),"")))</f>
        <v>3.7187938841555184</v>
      </c>
      <c r="H63" cm="1">
        <f t="array" ref="H63">IF(OR(IFERROR(INDEX(Raw_Financials!$M$2:$M$76, MATCH(1, (Raw_Financials!$A$2:$A$76="Coal India")*(Raw_Financials!$B$2:$B$76="2021"),0)+1),"")="",IFERROR(INDEX(Raw_Financials!$L$2:$L$76, MATCH(1, (Raw_Financials!$A$2:$A$76="Coal India")*(Raw_Financials!$B$2:$B$76="2021"),0)+1),"")=""),"",(IFERROR(INDEX(Raw_Financials!$M$2:$M$76, MATCH(1, (Raw_Financials!$A$2:$A$76="Coal India")*(Raw_Financials!$B$2:$B$76="2021"),0)+1),""))/(IFERROR(INDEX(Raw_Financials!$L$2:$L$76, MATCH(1, (Raw_Financials!$A$2:$A$76="Coal India")*(Raw_Financials!$B$2:$B$76="2021"),0)+1),"")))</f>
        <v>2.876148612747047</v>
      </c>
      <c r="I63" cm="1">
        <f t="array" ref="I63">IF(OR(IFERROR(INDEX(Raw_Financials!$N$2:$N$76, MATCH(1, (Raw_Financials!$A$2:$A$76="Coal India")*(Raw_Financials!$B$2:$B$76="2021"),0)+1),"")="",IFERROR(INDEX(Raw_Financials!$J$2:$J$76, MATCH(1, (Raw_Financials!$A$2:$A$76="Coal India")*(Raw_Financials!$B$2:$B$76="2021"),0)+1),"")=""),"",(IFERROR(INDEX(Raw_Financials!$N$2:$N$76, MATCH(1, (Raw_Financials!$A$2:$A$76="Coal India")*(Raw_Financials!$B$2:$B$76="2021"),0)+1),""))-(IFERROR(INDEX(Raw_Financials!$J$2:$J$76, MATCH(1, (Raw_Financials!$A$2:$A$76="Coal India")*(Raw_Financials!$B$2:$B$76="2021"),0)+1),"")))</f>
        <v>12211.460000000001</v>
      </c>
      <c r="J63" cm="1">
        <f t="array" ref="J63">IF(OR(IFERROR(INDEX(Raw_Financials!$M$2:$M$76, MATCH(1, (Raw_Financials!$A$2:$A$76="Coal India")*(Raw_Financials!$B$2:$B$76="2021"),0)+1),"")="",IFERROR(INDEX(Raw_Financials!$C$2:$C$76, MATCH(1, (Raw_Financials!$A$2:$A$76="Coal India")*(Raw_Financials!$B$2:$B$76="2021"),0)+1),"")=""),"",(IFERROR(INDEX(Raw_Financials!$M$2:$M$76, MATCH(1, (Raw_Financials!$A$2:$A$76="Coal India")*(Raw_Financials!$B$2:$B$76="2021"),0)+1),""))/(IFERROR(INDEX(Raw_Financials!$C$2:$C$76, MATCH(1, (Raw_Financials!$A$2:$A$76="Coal India")*(Raw_Financials!$B$2:$B$76="2021"),0)+1),"")))</f>
        <v>0.48427167337132992</v>
      </c>
      <c r="K63" cm="1">
        <f t="array" ref="K63">IF(OR(IFERROR(INDEX(Raw_ESG!$C$2:$C$76, MATCH(1, (Raw_ESG!$A$2:$A$76="Coal India")*(Raw_ESG!$B$2:$B$76="2021"),0)+1),"")="",IFERROR(INDEX(Raw_Financials!$J$2:$J$76, MATCH(1, (Raw_Financials!$A$2:$A$76="Coal India")*(Raw_Financials!$B$2:$B$76="2021"),0)+1),"")=""),"",(IFERROR(INDEX(Raw_ESG!$C$2:$C$76, MATCH(1, (Raw_ESG!$A$2:$A$76="Coal India")*(Raw_ESG!$B$2:$B$76="2021"),0)+1),""))/(IFERROR(INDEX(Raw_Financials!$J$2:$J$76, MATCH(1, (Raw_Financials!$A$2:$A$76="Coal India")*(Raw_Financials!$B$2:$B$76="2021"),0)+1),"")))</f>
        <v>0.46975144576924677</v>
      </c>
      <c r="L63" cm="1">
        <f t="array" ref="L63">IF(OR(IFERROR(INDEX(Raw_ESG!$D$2:$D$76, MATCH(1, (Raw_ESG!$A$2:$A$76="Coal India")*(Raw_ESG!$B$2:$B$76="2021"),0)+1),"")="",IFERROR(INDEX(Raw_Financials!$E$2:$E$76, MATCH(1, (Raw_Financials!$A$2:$A$76="Coal India")*(Raw_Financials!$B$2:$B$76="2021"),0)+1),"")=""),"",(IFERROR(INDEX(Raw_ESG!$D$2:$D$76, MATCH(1, (Raw_ESG!$A$2:$A$76="Coal India")*(Raw_ESG!$B$2:$B$76="2021"),0)+1),""))/(IFERROR(INDEX(Raw_Financials!$E$2:$E$76, MATCH(1, (Raw_Financials!$A$2:$A$76="Coal India")*(Raw_Financials!$B$2:$B$76="2021"),0)+1),"")))</f>
        <v>0.10805867394519716</v>
      </c>
      <c r="M63" cm="1">
        <f t="array" ref="M63">IF(OR(IFERROR(INDEX(Raw_ESG!$E$2:$E$76, MATCH(1, (Raw_ESG!$A$2:$A$76="Coal India")*(Raw_ESG!$B$2:$B$76="2021"),0)+1),"")="",IFERROR(INDEX(Raw_ESG!$F$2:$F$76, MATCH(1, (Raw_ESG!$A$2:$A$76="Coal India")*(Raw_ESG!$B$2:$B$76="2021"),0)+1),"")=""),"",(IFERROR(INDEX(Raw_ESG!$E$2:$E$76, MATCH(1, (Raw_ESG!$A$2:$A$76="Coal India")*(Raw_ESG!$B$2:$B$76="2021"),0)+1),""))+(IFERROR(INDEX(Raw_ESG!$F$2:$F$76, MATCH(1, (Raw_ESG!$A$2:$A$76="Coal India")*(Raw_ESG!$B$2:$B$76="2021"),0)+1),"")))</f>
        <v>167328.36000000002</v>
      </c>
      <c r="N63" cm="1">
        <f t="array" ref="N63">IFERROR(INDEX(Raw_ESG!$G$2:$G$76, MATCH(1, (Raw_ESG!$A$2:$A$76="Coal India")*(Raw_ESG!$B$2:$B$76="2021"),0)+1),"")</f>
        <v>62.91</v>
      </c>
    </row>
    <row r="64" spans="1:14" x14ac:dyDescent="0.35">
      <c r="A64" t="s">
        <v>14</v>
      </c>
      <c r="B64" t="s">
        <v>35</v>
      </c>
      <c r="C64" cm="1">
        <f t="array" ref="C64">IF(OR(IFERROR(INDEX(Raw_Financials!$E$2:$E$76, MATCH(1, (Raw_Financials!$A$2:$A$76="Coal India")*(Raw_Financials!$B$2:$B$76="2022"),0)+1),"")="",IFERROR(INDEX(Raw_Financials!$D$2:$D$76, MATCH(1, (Raw_Financials!$A$2:$A$76="Coal India")*(Raw_Financials!$B$2:$B$76="2022"),0)+1),"")=""),"",(IFERROR(INDEX(Raw_Financials!$D$2:$D$76, MATCH(1, (Raw_Financials!$A$2:$A$76="Coal India")*(Raw_Financials!$B$2:$B$76="2022"),0)+1),""))/(IFERROR(INDEX(Raw_Financials!$E$2:$E$76, MATCH(1, (Raw_Financials!$A$2:$A$76="Coal India")*(Raw_Financials!$B$2:$B$76="2022"),0)+1),"")))</f>
        <v>2.4262009839868804E-2</v>
      </c>
      <c r="D64" cm="1">
        <f t="array" ref="D64">IF(OR(IFERROR(INDEX(Raw_Financials!$E$2:$E$76, MATCH(1, (Raw_Financials!$A$2:$A$76="Coal India")*(Raw_Financials!$B$2:$B$76="2022"),0)+1),"")="",IFERROR(INDEX(Raw_Financials!$C$2:$C$76, MATCH(1, (Raw_Financials!$A$2:$A$76="Coal India")*(Raw_Financials!$B$2:$B$76="2022"),0)+1),"")=""),"",(IFERROR(INDEX(Raw_Financials!$C$2:$C$76, MATCH(1, (Raw_Financials!$A$2:$A$76="Coal India")*(Raw_Financials!$B$2:$B$76="2022"),0)+1),""))/(IFERROR(INDEX(Raw_Financials!$E$2:$E$76, MATCH(1, (Raw_Financials!$A$2:$A$76="Coal India")*(Raw_Financials!$B$2:$B$76="2022"),0)+1),"")))</f>
        <v>0.12166404447940696</v>
      </c>
      <c r="E64" cm="1">
        <f t="array" ref="E64">IF(OR(IFERROR(INDEX(Raw_Financials!$G$2:$G$76, MATCH(1, (Raw_Financials!$A$2:$A$76="Coal India")*(Raw_Financials!$B$2:$B$76="2022"),0)+1),"")="",IFERROR(INDEX(Raw_Financials!$H$2:$H$76, MATCH(1, (Raw_Financials!$A$2:$A$76="Coal India")*(Raw_Financials!$B$2:$B$76="2022"),0)+1),"")=""),"",(IFERROR(INDEX(Raw_Financials!$G$2:$G$76, MATCH(1, (Raw_Financials!$A$2:$A$76="Coal India")*(Raw_Financials!$B$2:$B$76="2022"),0)+1),""))-(IFERROR(INDEX(Raw_Financials!$H$2:$H$76, MATCH(1, (Raw_Financials!$A$2:$A$76="Coal India")*(Raw_Financials!$B$2:$B$76="2022"),0)+1),"")))</f>
        <v>10881.009999999995</v>
      </c>
      <c r="F64" cm="1">
        <f t="array" ref="F64">IF(OR(IFERROR(INDEX(Raw_Financials!$C$2:$C$76, MATCH(1, (Raw_Financials!$A$2:$A$76="Coal India")*(Raw_Financials!$B$2:$B$76="2022"),0)+1),"")="",IF(OR(IFERROR(INDEX(Raw_Financials!$G$2:$G$76, MATCH(1, (Raw_Financials!$A$2:$A$76="Coal India")*(Raw_Financials!$B$2:$B$76="2022"),0)+1),"")="",IFERROR(INDEX(Raw_Financials!$H$2:$H$76, MATCH(1, (Raw_Financials!$A$2:$A$76="Coal India")*(Raw_Financials!$B$2:$B$76="2022"),0)+1),"")=""),"",(IFERROR(INDEX(Raw_Financials!$G$2:$G$76, MATCH(1, (Raw_Financials!$A$2:$A$76="Coal India")*(Raw_Financials!$B$2:$B$76="2022"),0)+1),""))-(IFERROR(INDEX(Raw_Financials!$H$2:$H$76, MATCH(1, (Raw_Financials!$A$2:$A$76="Coal India")*(Raw_Financials!$B$2:$B$76="2022"),0)+1),"")))=""),"",(IFERROR(INDEX(Raw_Financials!$C$2:$C$76, MATCH(1, (Raw_Financials!$A$2:$A$76="Coal India")*(Raw_Financials!$B$2:$B$76="2022"),0)+1),""))/(IF(OR(IFERROR(INDEX(Raw_Financials!$G$2:$G$76, MATCH(1, (Raw_Financials!$A$2:$A$76="Coal India")*(Raw_Financials!$B$2:$B$76="2022"),0)+1),"")="",IFERROR(INDEX(Raw_Financials!$H$2:$H$76, MATCH(1, (Raw_Financials!$A$2:$A$76="Coal India")*(Raw_Financials!$B$2:$B$76="2022"),0)+1),"")=""),"",(IFERROR(INDEX(Raw_Financials!$G$2:$G$76, MATCH(1, (Raw_Financials!$A$2:$A$76="Coal India")*(Raw_Financials!$B$2:$B$76="2022"),0)+1),""))-(IFERROR(INDEX(Raw_Financials!$H$2:$H$76, MATCH(1, (Raw_Financials!$A$2:$A$76="Coal India")*(Raw_Financials!$B$2:$B$76="2022"),0)+1),"")))))</f>
        <v>2.3481083097984481</v>
      </c>
      <c r="G64" cm="1">
        <f t="array" ref="G64">IF(OR(IFERROR(INDEX(Raw_Financials!$O$2:$O$76, MATCH(1, (Raw_Financials!$A$2:$A$76="Coal India")*(Raw_Financials!$B$2:$B$76="2022"),0)+1),"")="",IFERROR(INDEX(Raw_Financials!$M$2:$M$76, MATCH(1, (Raw_Financials!$A$2:$A$76="Coal India")*(Raw_Financials!$B$2:$B$76="2022"),0)+1),"")=""),"",(IFERROR(INDEX(Raw_Financials!$O$2:$O$76, MATCH(1, (Raw_Financials!$A$2:$A$76="Coal India")*(Raw_Financials!$B$2:$B$76="2022"),0)+1),""))/(IFERROR(INDEX(Raw_Financials!$M$2:$M$76, MATCH(1, (Raw_Financials!$A$2:$A$76="Coal India")*(Raw_Financials!$B$2:$B$76="2022"),0)+1),"")))</f>
        <v>1.5483584964306278</v>
      </c>
      <c r="H64" cm="1">
        <f t="array" ref="H64">IF(OR(IFERROR(INDEX(Raw_Financials!$M$2:$M$76, MATCH(1, (Raw_Financials!$A$2:$A$76="Coal India")*(Raw_Financials!$B$2:$B$76="2022"),0)+1),"")="",IFERROR(INDEX(Raw_Financials!$L$2:$L$76, MATCH(1, (Raw_Financials!$A$2:$A$76="Coal India")*(Raw_Financials!$B$2:$B$76="2022"),0)+1),"")=""),"",(IFERROR(INDEX(Raw_Financials!$M$2:$M$76, MATCH(1, (Raw_Financials!$A$2:$A$76="Coal India")*(Raw_Financials!$B$2:$B$76="2022"),0)+1),""))/(IFERROR(INDEX(Raw_Financials!$L$2:$L$76, MATCH(1, (Raw_Financials!$A$2:$A$76="Coal India")*(Raw_Financials!$B$2:$B$76="2022"),0)+1),"")))</f>
        <v>3.8448730367774306</v>
      </c>
      <c r="I64" cm="1">
        <f t="array" ref="I64">IF(OR(IFERROR(INDEX(Raw_Financials!$N$2:$N$76, MATCH(1, (Raw_Financials!$A$2:$A$76="Coal India")*(Raw_Financials!$B$2:$B$76="2022"),0)+1),"")="",IFERROR(INDEX(Raw_Financials!$J$2:$J$76, MATCH(1, (Raw_Financials!$A$2:$A$76="Coal India")*(Raw_Financials!$B$2:$B$76="2022"),0)+1),"")=""),"",(IFERROR(INDEX(Raw_Financials!$N$2:$N$76, MATCH(1, (Raw_Financials!$A$2:$A$76="Coal India")*(Raw_Financials!$B$2:$B$76="2022"),0)+1),""))-(IFERROR(INDEX(Raw_Financials!$J$2:$J$76, MATCH(1, (Raw_Financials!$A$2:$A$76="Coal India")*(Raw_Financials!$B$2:$B$76="2022"),0)+1),"")))</f>
        <v>18719.23</v>
      </c>
      <c r="J64" cm="1">
        <f t="array" ref="J64">IF(OR(IFERROR(INDEX(Raw_Financials!$M$2:$M$76, MATCH(1, (Raw_Financials!$A$2:$A$76="Coal India")*(Raw_Financials!$B$2:$B$76="2022"),0)+1),"")="",IFERROR(INDEX(Raw_Financials!$C$2:$C$76, MATCH(1, (Raw_Financials!$A$2:$A$76="Coal India")*(Raw_Financials!$B$2:$B$76="2022"),0)+1),"")=""),"",(IFERROR(INDEX(Raw_Financials!$M$2:$M$76, MATCH(1, (Raw_Financials!$A$2:$A$76="Coal India")*(Raw_Financials!$B$2:$B$76="2022"),0)+1),""))/(IFERROR(INDEX(Raw_Financials!$C$2:$C$76, MATCH(1, (Raw_Financials!$A$2:$A$76="Coal India")*(Raw_Financials!$B$2:$B$76="2022"),0)+1),"")))</f>
        <v>0.69130783462408107</v>
      </c>
      <c r="K64" cm="1">
        <f t="array" ref="K64">IF(OR(IFERROR(INDEX(Raw_ESG!$C$2:$C$76, MATCH(1, (Raw_ESG!$A$2:$A$76="Coal India")*(Raw_ESG!$B$2:$B$76="2022"),0)+1),"")="",IFERROR(INDEX(Raw_Financials!$J$2:$J$76, MATCH(1, (Raw_Financials!$A$2:$A$76="Coal India")*(Raw_Financials!$B$2:$B$76="2022"),0)+1),"")=""),"",(IFERROR(INDEX(Raw_ESG!$C$2:$C$76, MATCH(1, (Raw_ESG!$A$2:$A$76="Coal India")*(Raw_ESG!$B$2:$B$76="2022"),0)+1),""))/(IFERROR(INDEX(Raw_Financials!$J$2:$J$76, MATCH(1, (Raw_Financials!$A$2:$A$76="Coal India")*(Raw_Financials!$B$2:$B$76="2022"),0)+1),"")))</f>
        <v>0.63428397132835146</v>
      </c>
      <c r="L64" cm="1">
        <f t="array" ref="L64">IF(OR(IFERROR(INDEX(Raw_ESG!$D$2:$D$76, MATCH(1, (Raw_ESG!$A$2:$A$76="Coal India")*(Raw_ESG!$B$2:$B$76="2022"),0)+1),"")="",IFERROR(INDEX(Raw_Financials!$E$2:$E$76, MATCH(1, (Raw_Financials!$A$2:$A$76="Coal India")*(Raw_Financials!$B$2:$B$76="2022"),0)+1),"")=""),"",(IFERROR(INDEX(Raw_ESG!$D$2:$D$76, MATCH(1, (Raw_ESG!$A$2:$A$76="Coal India")*(Raw_ESG!$B$2:$B$76="2022"),0)+1),""))/(IFERROR(INDEX(Raw_Financials!$E$2:$E$76, MATCH(1, (Raw_Financials!$A$2:$A$76="Coal India")*(Raw_Financials!$B$2:$B$76="2022"),0)+1),"")))</f>
        <v>8.2249331913669732E-2</v>
      </c>
      <c r="M64" cm="1">
        <f t="array" ref="M64">IF(OR(IFERROR(INDEX(Raw_ESG!$E$2:$E$76, MATCH(1, (Raw_ESG!$A$2:$A$76="Coal India")*(Raw_ESG!$B$2:$B$76="2022"),0)+1),"")="",IFERROR(INDEX(Raw_ESG!$F$2:$F$76, MATCH(1, (Raw_ESG!$A$2:$A$76="Coal India")*(Raw_ESG!$B$2:$B$76="2022"),0)+1),"")=""),"",(IFERROR(INDEX(Raw_ESG!$E$2:$E$76, MATCH(1, (Raw_ESG!$A$2:$A$76="Coal India")*(Raw_ESG!$B$2:$B$76="2022"),0)+1),""))+(IFERROR(INDEX(Raw_ESG!$F$2:$F$76, MATCH(1, (Raw_ESG!$A$2:$A$76="Coal India")*(Raw_ESG!$B$2:$B$76="2022"),0)+1),"")))</f>
        <v>111753.98999999999</v>
      </c>
      <c r="N64" cm="1">
        <f t="array" ref="N64">IFERROR(INDEX(Raw_ESG!$G$2:$G$76, MATCH(1, (Raw_ESG!$A$2:$A$76="Coal India")*(Raw_ESG!$B$2:$B$76="2022"),0)+1),"")</f>
        <v>67.28</v>
      </c>
    </row>
    <row r="65" spans="1:14" x14ac:dyDescent="0.35">
      <c r="A65" t="s">
        <v>14</v>
      </c>
      <c r="B65" t="s">
        <v>36</v>
      </c>
      <c r="C65" cm="1">
        <f t="array" ref="C65">IF(OR(IFERROR(INDEX(Raw_Financials!$E$2:$E$76, MATCH(1, (Raw_Financials!$A$2:$A$76="Coal India")*(Raw_Financials!$B$2:$B$76="2023"),0)+1),"")="",IFERROR(INDEX(Raw_Financials!$D$2:$D$76, MATCH(1, (Raw_Financials!$A$2:$A$76="Coal India")*(Raw_Financials!$B$2:$B$76="2023"),0)+1),"")=""),"",(IFERROR(INDEX(Raw_Financials!$D$2:$D$76, MATCH(1, (Raw_Financials!$A$2:$A$76="Coal India")*(Raw_Financials!$B$2:$B$76="2023"),0)+1),""))/(IFERROR(INDEX(Raw_Financials!$E$2:$E$76, MATCH(1, (Raw_Financials!$A$2:$A$76="Coal India")*(Raw_Financials!$B$2:$B$76="2023"),0)+1),"")))</f>
        <v>7.8935893756098371E-2</v>
      </c>
      <c r="D65" cm="1">
        <f t="array" ref="D65">IF(OR(IFERROR(INDEX(Raw_Financials!$E$2:$E$76, MATCH(1, (Raw_Financials!$A$2:$A$76="Coal India")*(Raw_Financials!$B$2:$B$76="2023"),0)+1),"")="",IFERROR(INDEX(Raw_Financials!$C$2:$C$76, MATCH(1, (Raw_Financials!$A$2:$A$76="Coal India")*(Raw_Financials!$B$2:$B$76="2023"),0)+1),"")=""),"",(IFERROR(INDEX(Raw_Financials!$C$2:$C$76, MATCH(1, (Raw_Financials!$A$2:$A$76="Coal India")*(Raw_Financials!$B$2:$B$76="2023"),0)+1),""))/(IFERROR(INDEX(Raw_Financials!$E$2:$E$76, MATCH(1, (Raw_Financials!$A$2:$A$76="Coal India")*(Raw_Financials!$B$2:$B$76="2023"),0)+1),"")))</f>
        <v>0.26063785588802812</v>
      </c>
      <c r="E65" cm="1">
        <f t="array" ref="E65">IF(OR(IFERROR(INDEX(Raw_Financials!$G$2:$G$76, MATCH(1, (Raw_Financials!$A$2:$A$76="Coal India")*(Raw_Financials!$B$2:$B$76="2023"),0)+1),"")="",IFERROR(INDEX(Raw_Financials!$H$2:$H$76, MATCH(1, (Raw_Financials!$A$2:$A$76="Coal India")*(Raw_Financials!$B$2:$B$76="2023"),0)+1),"")=""),"",(IFERROR(INDEX(Raw_Financials!$G$2:$G$76, MATCH(1, (Raw_Financials!$A$2:$A$76="Coal India")*(Raw_Financials!$B$2:$B$76="2023"),0)+1),""))-(IFERROR(INDEX(Raw_Financials!$H$2:$H$76, MATCH(1, (Raw_Financials!$A$2:$A$76="Coal India")*(Raw_Financials!$B$2:$B$76="2023"),0)+1),"")))</f>
        <v>5877.57</v>
      </c>
      <c r="F65" cm="1">
        <f t="array" ref="F65">IF(OR(IFERROR(INDEX(Raw_Financials!$C$2:$C$76, MATCH(1, (Raw_Financials!$A$2:$A$76="Coal India")*(Raw_Financials!$B$2:$B$76="2023"),0)+1),"")="",IF(OR(IFERROR(INDEX(Raw_Financials!$G$2:$G$76, MATCH(1, (Raw_Financials!$A$2:$A$76="Coal India")*(Raw_Financials!$B$2:$B$76="2023"),0)+1),"")="",IFERROR(INDEX(Raw_Financials!$H$2:$H$76, MATCH(1, (Raw_Financials!$A$2:$A$76="Coal India")*(Raw_Financials!$B$2:$B$76="2023"),0)+1),"")=""),"",(IFERROR(INDEX(Raw_Financials!$G$2:$G$76, MATCH(1, (Raw_Financials!$A$2:$A$76="Coal India")*(Raw_Financials!$B$2:$B$76="2023"),0)+1),""))-(IFERROR(INDEX(Raw_Financials!$H$2:$H$76, MATCH(1, (Raw_Financials!$A$2:$A$76="Coal India")*(Raw_Financials!$B$2:$B$76="2023"),0)+1),"")))=""),"",(IFERROR(INDEX(Raw_Financials!$C$2:$C$76, MATCH(1, (Raw_Financials!$A$2:$A$76="Coal India")*(Raw_Financials!$B$2:$B$76="2023"),0)+1),""))/(IF(OR(IFERROR(INDEX(Raw_Financials!$G$2:$G$76, MATCH(1, (Raw_Financials!$A$2:$A$76="Coal India")*(Raw_Financials!$B$2:$B$76="2023"),0)+1),"")="",IFERROR(INDEX(Raw_Financials!$H$2:$H$76, MATCH(1, (Raw_Financials!$A$2:$A$76="Coal India")*(Raw_Financials!$B$2:$B$76="2023"),0)+1),"")=""),"",(IFERROR(INDEX(Raw_Financials!$G$2:$G$76, MATCH(1, (Raw_Financials!$A$2:$A$76="Coal India")*(Raw_Financials!$B$2:$B$76="2023"),0)+1),""))-(IFERROR(INDEX(Raw_Financials!$H$2:$H$76, MATCH(1, (Raw_Financials!$A$2:$A$76="Coal India")*(Raw_Financials!$B$2:$B$76="2023"),0)+1),"")))))</f>
        <v>4.9578193028751683</v>
      </c>
      <c r="G65" cm="1">
        <f t="array" ref="G65">IF(OR(IFERROR(INDEX(Raw_Financials!$O$2:$O$76, MATCH(1, (Raw_Financials!$A$2:$A$76="Coal India")*(Raw_Financials!$B$2:$B$76="2023"),0)+1),"")="",IFERROR(INDEX(Raw_Financials!$M$2:$M$76, MATCH(1, (Raw_Financials!$A$2:$A$76="Coal India")*(Raw_Financials!$B$2:$B$76="2023"),0)+1),"")=""),"",(IFERROR(INDEX(Raw_Financials!$O$2:$O$76, MATCH(1, (Raw_Financials!$A$2:$A$76="Coal India")*(Raw_Financials!$B$2:$B$76="2023"),0)+1),""))/(IFERROR(INDEX(Raw_Financials!$M$2:$M$76, MATCH(1, (Raw_Financials!$A$2:$A$76="Coal India")*(Raw_Financials!$B$2:$B$76="2023"),0)+1),"")))</f>
        <v>2.6480250861282957</v>
      </c>
      <c r="H65" cm="1">
        <f t="array" ref="H65">IF(OR(IFERROR(INDEX(Raw_Financials!$M$2:$M$76, MATCH(1, (Raw_Financials!$A$2:$A$76="Coal India")*(Raw_Financials!$B$2:$B$76="2023"),0)+1),"")="",IFERROR(INDEX(Raw_Financials!$L$2:$L$76, MATCH(1, (Raw_Financials!$A$2:$A$76="Coal India")*(Raw_Financials!$B$2:$B$76="2023"),0)+1),"")=""),"",(IFERROR(INDEX(Raw_Financials!$M$2:$M$76, MATCH(1, (Raw_Financials!$A$2:$A$76="Coal India")*(Raw_Financials!$B$2:$B$76="2023"),0)+1),""))/(IFERROR(INDEX(Raw_Financials!$L$2:$L$76, MATCH(1, (Raw_Financials!$A$2:$A$76="Coal India")*(Raw_Financials!$B$2:$B$76="2023"),0)+1),"")))</f>
        <v>4.7688991342656619</v>
      </c>
      <c r="I65" cm="1">
        <f t="array" ref="I65">IF(OR(IFERROR(INDEX(Raw_Financials!$N$2:$N$76, MATCH(1, (Raw_Financials!$A$2:$A$76="Coal India")*(Raw_Financials!$B$2:$B$76="2023"),0)+1),"")="",IFERROR(INDEX(Raw_Financials!$J$2:$J$76, MATCH(1, (Raw_Financials!$A$2:$A$76="Coal India")*(Raw_Financials!$B$2:$B$76="2023"),0)+1),"")=""),"",(IFERROR(INDEX(Raw_Financials!$N$2:$N$76, MATCH(1, (Raw_Financials!$A$2:$A$76="Coal India")*(Raw_Financials!$B$2:$B$76="2023"),0)+1),""))-(IFERROR(INDEX(Raw_Financials!$J$2:$J$76, MATCH(1, (Raw_Financials!$A$2:$A$76="Coal India")*(Raw_Financials!$B$2:$B$76="2023"),0)+1),"")))</f>
        <v>27949.519999999997</v>
      </c>
      <c r="J65" cm="1">
        <f t="array" ref="J65">IF(OR(IFERROR(INDEX(Raw_Financials!$M$2:$M$76, MATCH(1, (Raw_Financials!$A$2:$A$76="Coal India")*(Raw_Financials!$B$2:$B$76="2023"),0)+1),"")="",IFERROR(INDEX(Raw_Financials!$C$2:$C$76, MATCH(1, (Raw_Financials!$A$2:$A$76="Coal India")*(Raw_Financials!$B$2:$B$76="2023"),0)+1),"")=""),"",(IFERROR(INDEX(Raw_Financials!$M$2:$M$76, MATCH(1, (Raw_Financials!$A$2:$A$76="Coal India")*(Raw_Financials!$B$2:$B$76="2023"),0)+1),""))/(IFERROR(INDEX(Raw_Financials!$C$2:$C$76, MATCH(1, (Raw_Financials!$A$2:$A$76="Coal India")*(Raw_Financials!$B$2:$B$76="2023"),0)+1),"")))</f>
        <v>0.79867796525249024</v>
      </c>
      <c r="K65" cm="1">
        <f t="array" ref="K65">IF(OR(IFERROR(INDEX(Raw_ESG!$C$2:$C$76, MATCH(1, (Raw_ESG!$A$2:$A$76="Coal India")*(Raw_ESG!$B$2:$B$76="2023"),0)+1),"")="",IFERROR(INDEX(Raw_Financials!$J$2:$J$76, MATCH(1, (Raw_Financials!$A$2:$A$76="Coal India")*(Raw_Financials!$B$2:$B$76="2023"),0)+1),"")=""),"",(IFERROR(INDEX(Raw_ESG!$C$2:$C$76, MATCH(1, (Raw_ESG!$A$2:$A$76="Coal India")*(Raw_ESG!$B$2:$B$76="2023"),0)+1),""))/(IFERROR(INDEX(Raw_Financials!$J$2:$J$76, MATCH(1, (Raw_Financials!$A$2:$A$76="Coal India")*(Raw_Financials!$B$2:$B$76="2023"),0)+1),"")))</f>
        <v>0.48984597088024168</v>
      </c>
      <c r="L65" cm="1">
        <f t="array" ref="L65">IF(OR(IFERROR(INDEX(Raw_ESG!$D$2:$D$76, MATCH(1, (Raw_ESG!$A$2:$A$76="Coal India")*(Raw_ESG!$B$2:$B$76="2023"),0)+1),"")="",IFERROR(INDEX(Raw_Financials!$E$2:$E$76, MATCH(1, (Raw_Financials!$A$2:$A$76="Coal India")*(Raw_Financials!$B$2:$B$76="2023"),0)+1),"")=""),"",(IFERROR(INDEX(Raw_ESG!$D$2:$D$76, MATCH(1, (Raw_ESG!$A$2:$A$76="Coal India")*(Raw_ESG!$B$2:$B$76="2023"),0)+1),""))/(IFERROR(INDEX(Raw_Financials!$E$2:$E$76, MATCH(1, (Raw_Financials!$A$2:$A$76="Coal India")*(Raw_Financials!$B$2:$B$76="2023"),0)+1),"")))</f>
        <v>0.26328279087464784</v>
      </c>
      <c r="M65" cm="1">
        <f t="array" ref="M65">IF(OR(IFERROR(INDEX(Raw_ESG!$E$2:$E$76, MATCH(1, (Raw_ESG!$A$2:$A$76="Coal India")*(Raw_ESG!$B$2:$B$76="2023"),0)+1),"")="",IFERROR(INDEX(Raw_ESG!$F$2:$F$76, MATCH(1, (Raw_ESG!$A$2:$A$76="Coal India")*(Raw_ESG!$B$2:$B$76="2023"),0)+1),"")=""),"",(IFERROR(INDEX(Raw_ESG!$E$2:$E$76, MATCH(1, (Raw_ESG!$A$2:$A$76="Coal India")*(Raw_ESG!$B$2:$B$76="2023"),0)+1),""))+(IFERROR(INDEX(Raw_ESG!$F$2:$F$76, MATCH(1, (Raw_ESG!$A$2:$A$76="Coal India")*(Raw_ESG!$B$2:$B$76="2023"),0)+1),"")))</f>
        <v>175759.58000000002</v>
      </c>
      <c r="N65" cm="1">
        <f t="array" ref="N65">IFERROR(INDEX(Raw_ESG!$G$2:$G$76, MATCH(1, (Raw_ESG!$A$2:$A$76="Coal India")*(Raw_ESG!$B$2:$B$76="2023"),0)+1),"")</f>
        <v>87.07</v>
      </c>
    </row>
    <row r="66" spans="1:14" x14ac:dyDescent="0.35">
      <c r="A66" t="s">
        <v>14</v>
      </c>
      <c r="B66" t="s">
        <v>37</v>
      </c>
      <c r="C66" cm="1">
        <f t="array" ref="C66">IF(OR(IFERROR(INDEX(Raw_Financials!$E$2:$E$76, MATCH(1, (Raw_Financials!$A$2:$A$76="Coal India")*(Raw_Financials!$B$2:$B$76="2024"),0)+1),"")="",IFERROR(INDEX(Raw_Financials!$D$2:$D$76, MATCH(1, (Raw_Financials!$A$2:$A$76="Coal India")*(Raw_Financials!$B$2:$B$76="2024"),0)+1),"")=""),"",(IFERROR(INDEX(Raw_Financials!$D$2:$D$76, MATCH(1, (Raw_Financials!$A$2:$A$76="Coal India")*(Raw_Financials!$B$2:$B$76="2024"),0)+1),""))/(IFERROR(INDEX(Raw_Financials!$E$2:$E$76, MATCH(1, (Raw_Financials!$A$2:$A$76="Coal India")*(Raw_Financials!$B$2:$B$76="2024"),0)+1),"")))</f>
        <v>0.10591476375123061</v>
      </c>
      <c r="D66" cm="1">
        <f t="array" ref="D66">IF(OR(IFERROR(INDEX(Raw_Financials!$E$2:$E$76, MATCH(1, (Raw_Financials!$A$2:$A$76="Coal India")*(Raw_Financials!$B$2:$B$76="2024"),0)+1),"")="",IFERROR(INDEX(Raw_Financials!$C$2:$C$76, MATCH(1, (Raw_Financials!$A$2:$A$76="Coal India")*(Raw_Financials!$B$2:$B$76="2024"),0)+1),"")=""),"",(IFERROR(INDEX(Raw_Financials!$C$2:$C$76, MATCH(1, (Raw_Financials!$A$2:$A$76="Coal India")*(Raw_Financials!$B$2:$B$76="2024"),0)+1),""))/(IFERROR(INDEX(Raw_Financials!$E$2:$E$76, MATCH(1, (Raw_Financials!$A$2:$A$76="Coal India")*(Raw_Financials!$B$2:$B$76="2024"),0)+1),"")))</f>
        <v>0.46078366300597468</v>
      </c>
      <c r="E66" cm="1">
        <f t="array" ref="E66">IF(OR(IFERROR(INDEX(Raw_Financials!$G$2:$G$76, MATCH(1, (Raw_Financials!$A$2:$A$76="Coal India")*(Raw_Financials!$B$2:$B$76="2024"),0)+1),"")="",IFERROR(INDEX(Raw_Financials!$H$2:$H$76, MATCH(1, (Raw_Financials!$A$2:$A$76="Coal India")*(Raw_Financials!$B$2:$B$76="2024"),0)+1),"")=""),"",(IFERROR(INDEX(Raw_Financials!$G$2:$G$76, MATCH(1, (Raw_Financials!$A$2:$A$76="Coal India")*(Raw_Financials!$B$2:$B$76="2024"),0)+1),""))-(IFERROR(INDEX(Raw_Financials!$H$2:$H$76, MATCH(1, (Raw_Financials!$A$2:$A$76="Coal India")*(Raw_Financials!$B$2:$B$76="2024"),0)+1),"")))</f>
        <v>18846.39</v>
      </c>
      <c r="F66" cm="1">
        <f t="array" ref="F66">IF(OR(IFERROR(INDEX(Raw_Financials!$C$2:$C$76, MATCH(1, (Raw_Financials!$A$2:$A$76="Coal India")*(Raw_Financials!$B$2:$B$76="2024"),0)+1),"")="",IF(OR(IFERROR(INDEX(Raw_Financials!$G$2:$G$76, MATCH(1, (Raw_Financials!$A$2:$A$76="Coal India")*(Raw_Financials!$B$2:$B$76="2024"),0)+1),"")="",IFERROR(INDEX(Raw_Financials!$H$2:$H$76, MATCH(1, (Raw_Financials!$A$2:$A$76="Coal India")*(Raw_Financials!$B$2:$B$76="2024"),0)+1),"")=""),"",(IFERROR(INDEX(Raw_Financials!$G$2:$G$76, MATCH(1, (Raw_Financials!$A$2:$A$76="Coal India")*(Raw_Financials!$B$2:$B$76="2024"),0)+1),""))-(IFERROR(INDEX(Raw_Financials!$H$2:$H$76, MATCH(1, (Raw_Financials!$A$2:$A$76="Coal India")*(Raw_Financials!$B$2:$B$76="2024"),0)+1),"")))=""),"",(IFERROR(INDEX(Raw_Financials!$C$2:$C$76, MATCH(1, (Raw_Financials!$A$2:$A$76="Coal India")*(Raw_Financials!$B$2:$B$76="2024"),0)+1),""))/(IF(OR(IFERROR(INDEX(Raw_Financials!$G$2:$G$76, MATCH(1, (Raw_Financials!$A$2:$A$76="Coal India")*(Raw_Financials!$B$2:$B$76="2024"),0)+1),"")="",IFERROR(INDEX(Raw_Financials!$H$2:$H$76, MATCH(1, (Raw_Financials!$A$2:$A$76="Coal India")*(Raw_Financials!$B$2:$B$76="2024"),0)+1),"")=""),"",(IFERROR(INDEX(Raw_Financials!$G$2:$G$76, MATCH(1, (Raw_Financials!$A$2:$A$76="Coal India")*(Raw_Financials!$B$2:$B$76="2024"),0)+1),""))-(IFERROR(INDEX(Raw_Financials!$H$2:$H$76, MATCH(1, (Raw_Financials!$A$2:$A$76="Coal India")*(Raw_Financials!$B$2:$B$76="2024"),0)+1),"")))))</f>
        <v>2.0223077204706046</v>
      </c>
      <c r="G66" cm="1">
        <f t="array" ref="G66">IF(OR(IFERROR(INDEX(Raw_Financials!$O$2:$O$76, MATCH(1, (Raw_Financials!$A$2:$A$76="Coal India")*(Raw_Financials!$B$2:$B$76="2024"),0)+1),"")="",IFERROR(INDEX(Raw_Financials!$M$2:$M$76, MATCH(1, (Raw_Financials!$A$2:$A$76="Coal India")*(Raw_Financials!$B$2:$B$76="2024"),0)+1),"")=""),"",(IFERROR(INDEX(Raw_Financials!$O$2:$O$76, MATCH(1, (Raw_Financials!$A$2:$A$76="Coal India")*(Raw_Financials!$B$2:$B$76="2024"),0)+1),""))/(IFERROR(INDEX(Raw_Financials!$M$2:$M$76, MATCH(1, (Raw_Financials!$A$2:$A$76="Coal India")*(Raw_Financials!$B$2:$B$76="2024"),0)+1),"")))</f>
        <v>2.3476528930683989</v>
      </c>
      <c r="H66" cm="1">
        <f t="array" ref="H66">IF(OR(IFERROR(INDEX(Raw_Financials!$M$2:$M$76, MATCH(1, (Raw_Financials!$A$2:$A$76="Coal India")*(Raw_Financials!$B$2:$B$76="2024"),0)+1),"")="",IFERROR(INDEX(Raw_Financials!$L$2:$L$76, MATCH(1, (Raw_Financials!$A$2:$A$76="Coal India")*(Raw_Financials!$B$2:$B$76="2024"),0)+1),"")=""),"",(IFERROR(INDEX(Raw_Financials!$M$2:$M$76, MATCH(1, (Raw_Financials!$A$2:$A$76="Coal India")*(Raw_Financials!$B$2:$B$76="2024"),0)+1),""))/(IFERROR(INDEX(Raw_Financials!$L$2:$L$76, MATCH(1, (Raw_Financials!$A$2:$A$76="Coal India")*(Raw_Financials!$B$2:$B$76="2024"),0)+1),"")))</f>
        <v>3.2421469677280683</v>
      </c>
      <c r="I66" cm="1">
        <f t="array" ref="I66">IF(OR(IFERROR(INDEX(Raw_Financials!$N$2:$N$76, MATCH(1, (Raw_Financials!$A$2:$A$76="Coal India")*(Raw_Financials!$B$2:$B$76="2024"),0)+1),"")="",IFERROR(INDEX(Raw_Financials!$J$2:$J$76, MATCH(1, (Raw_Financials!$A$2:$A$76="Coal India")*(Raw_Financials!$B$2:$B$76="2024"),0)+1),"")=""),"",(IFERROR(INDEX(Raw_Financials!$N$2:$N$76, MATCH(1, (Raw_Financials!$A$2:$A$76="Coal India")*(Raw_Financials!$B$2:$B$76="2024"),0)+1),""))-(IFERROR(INDEX(Raw_Financials!$J$2:$J$76, MATCH(1, (Raw_Financials!$A$2:$A$76="Coal India")*(Raw_Financials!$B$2:$B$76="2024"),0)+1),"")))</f>
        <v>23644.080000000002</v>
      </c>
      <c r="J66" cm="1">
        <f t="array" ref="J66">IF(OR(IFERROR(INDEX(Raw_Financials!$M$2:$M$76, MATCH(1, (Raw_Financials!$A$2:$A$76="Coal India")*(Raw_Financials!$B$2:$B$76="2024"),0)+1),"")="",IFERROR(INDEX(Raw_Financials!$C$2:$C$76, MATCH(1, (Raw_Financials!$A$2:$A$76="Coal India")*(Raw_Financials!$B$2:$B$76="2024"),0)+1),"")=""),"",(IFERROR(INDEX(Raw_Financials!$M$2:$M$76, MATCH(1, (Raw_Financials!$A$2:$A$76="Coal India")*(Raw_Financials!$B$2:$B$76="2024"),0)+1),""))/(IFERROR(INDEX(Raw_Financials!$C$2:$C$76, MATCH(1, (Raw_Financials!$A$2:$A$76="Coal India")*(Raw_Financials!$B$2:$B$76="2024"),0)+1),"")))</f>
        <v>0.52238673215578868</v>
      </c>
      <c r="K66" cm="1">
        <f t="array" ref="K66">IF(OR(IFERROR(INDEX(Raw_ESG!$C$2:$C$76, MATCH(1, (Raw_ESG!$A$2:$A$76="Coal India")*(Raw_ESG!$B$2:$B$76="2024"),0)+1),"")="",IFERROR(INDEX(Raw_Financials!$J$2:$J$76, MATCH(1, (Raw_Financials!$A$2:$A$76="Coal India")*(Raw_Financials!$B$2:$B$76="2024"),0)+1),"")=""),"",(IFERROR(INDEX(Raw_ESG!$C$2:$C$76, MATCH(1, (Raw_ESG!$A$2:$A$76="Coal India")*(Raw_ESG!$B$2:$B$76="2024"),0)+1),""))/(IFERROR(INDEX(Raw_Financials!$J$2:$J$76, MATCH(1, (Raw_Financials!$A$2:$A$76="Coal India")*(Raw_Financials!$B$2:$B$76="2024"),0)+1),"")))</f>
        <v>0.85946211494268032</v>
      </c>
      <c r="L66" cm="1">
        <f t="array" ref="L66">IF(OR(IFERROR(INDEX(Raw_ESG!$D$2:$D$76, MATCH(1, (Raw_ESG!$A$2:$A$76="Coal India")*(Raw_ESG!$B$2:$B$76="2024"),0)+1),"")="",IFERROR(INDEX(Raw_Financials!$E$2:$E$76, MATCH(1, (Raw_Financials!$A$2:$A$76="Coal India")*(Raw_Financials!$B$2:$B$76="2024"),0)+1),"")=""),"",(IFERROR(INDEX(Raw_ESG!$D$2:$D$76, MATCH(1, (Raw_ESG!$A$2:$A$76="Coal India")*(Raw_ESG!$B$2:$B$76="2024"),0)+1),""))/(IFERROR(INDEX(Raw_Financials!$E$2:$E$76, MATCH(1, (Raw_Financials!$A$2:$A$76="Coal India")*(Raw_Financials!$B$2:$B$76="2024"),0)+1),"")))</f>
        <v>0.35361602594582991</v>
      </c>
      <c r="M66" cm="1">
        <f t="array" ref="M66">IF(OR(IFERROR(INDEX(Raw_ESG!$E$2:$E$76, MATCH(1, (Raw_ESG!$A$2:$A$76="Coal India")*(Raw_ESG!$B$2:$B$76="2024"),0)+1),"")="",IFERROR(INDEX(Raw_ESG!$F$2:$F$76, MATCH(1, (Raw_ESG!$A$2:$A$76="Coal India")*(Raw_ESG!$B$2:$B$76="2024"),0)+1),"")=""),"",(IFERROR(INDEX(Raw_ESG!$E$2:$E$76, MATCH(1, (Raw_ESG!$A$2:$A$76="Coal India")*(Raw_ESG!$B$2:$B$76="2024"),0)+1),""))+(IFERROR(INDEX(Raw_ESG!$F$2:$F$76, MATCH(1, (Raw_ESG!$A$2:$A$76="Coal India")*(Raw_ESG!$B$2:$B$76="2024"),0)+1),"")))</f>
        <v>100249.92</v>
      </c>
      <c r="N66" cm="1">
        <f t="array" ref="N66">IFERROR(INDEX(Raw_ESG!$G$2:$G$76, MATCH(1, (Raw_ESG!$A$2:$A$76="Coal India")*(Raw_ESG!$B$2:$B$76="2024"),0)+1),"")</f>
        <v>59.31</v>
      </c>
    </row>
    <row r="67" spans="1:14" x14ac:dyDescent="0.35">
      <c r="A67" t="s">
        <v>15</v>
      </c>
      <c r="B67" t="s">
        <v>33</v>
      </c>
      <c r="C67" cm="1">
        <f t="array" ref="C67">IF(OR(IFERROR(INDEX(Raw_Financials!$E$2:$E$76, MATCH(1, (Raw_Financials!$A$2:$A$76="Tata Steel (Mining)")*(Raw_Financials!$B$2:$B$76="2020"),0)+1),"")="",IFERROR(INDEX(Raw_Financials!$D$2:$D$76, MATCH(1, (Raw_Financials!$A$2:$A$76="Tata Steel (Mining)")*(Raw_Financials!$B$2:$B$76="2020"),0)+1),"")=""),"",(IFERROR(INDEX(Raw_Financials!$D$2:$D$76, MATCH(1, (Raw_Financials!$A$2:$A$76="Tata Steel (Mining)")*(Raw_Financials!$B$2:$B$76="2020"),0)+1),""))/(IFERROR(INDEX(Raw_Financials!$E$2:$E$76, MATCH(1, (Raw_Financials!$A$2:$A$76="Tata Steel (Mining)")*(Raw_Financials!$B$2:$B$76="2020"),0)+1),"")))</f>
        <v>8.251963339879885E-2</v>
      </c>
      <c r="D67" cm="1">
        <f t="array" ref="D67">IF(OR(IFERROR(INDEX(Raw_Financials!$E$2:$E$76, MATCH(1, (Raw_Financials!$A$2:$A$76="Tata Steel (Mining)")*(Raw_Financials!$B$2:$B$76="2020"),0)+1),"")="",IFERROR(INDEX(Raw_Financials!$C$2:$C$76, MATCH(1, (Raw_Financials!$A$2:$A$76="Tata Steel (Mining)")*(Raw_Financials!$B$2:$B$76="2020"),0)+1),"")=""),"",(IFERROR(INDEX(Raw_Financials!$C$2:$C$76, MATCH(1, (Raw_Financials!$A$2:$A$76="Tata Steel (Mining)")*(Raw_Financials!$B$2:$B$76="2020"),0)+1),""))/(IFERROR(INDEX(Raw_Financials!$E$2:$E$76, MATCH(1, (Raw_Financials!$A$2:$A$76="Tata Steel (Mining)")*(Raw_Financials!$B$2:$B$76="2020"),0)+1),"")))</f>
        <v>0.56095490510980794</v>
      </c>
      <c r="E67" cm="1">
        <f t="array" ref="E67">IF(OR(IFERROR(INDEX(Raw_Financials!$G$2:$G$76, MATCH(1, (Raw_Financials!$A$2:$A$76="Tata Steel (Mining)")*(Raw_Financials!$B$2:$B$76="2020"),0)+1),"")="",IFERROR(INDEX(Raw_Financials!$H$2:$H$76, MATCH(1, (Raw_Financials!$A$2:$A$76="Tata Steel (Mining)")*(Raw_Financials!$B$2:$B$76="2020"),0)+1),"")=""),"",(IFERROR(INDEX(Raw_Financials!$G$2:$G$76, MATCH(1, (Raw_Financials!$A$2:$A$76="Tata Steel (Mining)")*(Raw_Financials!$B$2:$B$76="2020"),0)+1),""))-(IFERROR(INDEX(Raw_Financials!$H$2:$H$76, MATCH(1, (Raw_Financials!$A$2:$A$76="Tata Steel (Mining)")*(Raw_Financials!$B$2:$B$76="2020"),0)+1),"")))</f>
        <v>16691.5</v>
      </c>
      <c r="F67" cm="1">
        <f t="array" ref="F67">IF(OR(IFERROR(INDEX(Raw_Financials!$C$2:$C$76, MATCH(1, (Raw_Financials!$A$2:$A$76="Tata Steel (Mining)")*(Raw_Financials!$B$2:$B$76="2020"),0)+1),"")="",IF(OR(IFERROR(INDEX(Raw_Financials!$G$2:$G$76, MATCH(1, (Raw_Financials!$A$2:$A$76="Tata Steel (Mining)")*(Raw_Financials!$B$2:$B$76="2020"),0)+1),"")="",IFERROR(INDEX(Raw_Financials!$H$2:$H$76, MATCH(1, (Raw_Financials!$A$2:$A$76="Tata Steel (Mining)")*(Raw_Financials!$B$2:$B$76="2020"),0)+1),"")=""),"",(IFERROR(INDEX(Raw_Financials!$G$2:$G$76, MATCH(1, (Raw_Financials!$A$2:$A$76="Tata Steel (Mining)")*(Raw_Financials!$B$2:$B$76="2020"),0)+1),""))-(IFERROR(INDEX(Raw_Financials!$H$2:$H$76, MATCH(1, (Raw_Financials!$A$2:$A$76="Tata Steel (Mining)")*(Raw_Financials!$B$2:$B$76="2020"),0)+1),"")))=""),"",(IFERROR(INDEX(Raw_Financials!$C$2:$C$76, MATCH(1, (Raw_Financials!$A$2:$A$76="Tata Steel (Mining)")*(Raw_Financials!$B$2:$B$76="2020"),0)+1),""))/(IF(OR(IFERROR(INDEX(Raw_Financials!$G$2:$G$76, MATCH(1, (Raw_Financials!$A$2:$A$76="Tata Steel (Mining)")*(Raw_Financials!$B$2:$B$76="2020"),0)+1),"")="",IFERROR(INDEX(Raw_Financials!$H$2:$H$76, MATCH(1, (Raw_Financials!$A$2:$A$76="Tata Steel (Mining)")*(Raw_Financials!$B$2:$B$76="2020"),0)+1),"")=""),"",(IFERROR(INDEX(Raw_Financials!$G$2:$G$76, MATCH(1, (Raw_Financials!$A$2:$A$76="Tata Steel (Mining)")*(Raw_Financials!$B$2:$B$76="2020"),0)+1),""))-(IFERROR(INDEX(Raw_Financials!$H$2:$H$76, MATCH(1, (Raw_Financials!$A$2:$A$76="Tata Steel (Mining)")*(Raw_Financials!$B$2:$B$76="2020"),0)+1),"")))))</f>
        <v>3.8924476529970344</v>
      </c>
      <c r="G67" cm="1">
        <f t="array" ref="G67">IF(OR(IFERROR(INDEX(Raw_Financials!$O$2:$O$76, MATCH(1, (Raw_Financials!$A$2:$A$76="Tata Steel (Mining)")*(Raw_Financials!$B$2:$B$76="2020"),0)+1),"")="",IFERROR(INDEX(Raw_Financials!$M$2:$M$76, MATCH(1, (Raw_Financials!$A$2:$A$76="Tata Steel (Mining)")*(Raw_Financials!$B$2:$B$76="2020"),0)+1),"")=""),"",(IFERROR(INDEX(Raw_Financials!$O$2:$O$76, MATCH(1, (Raw_Financials!$A$2:$A$76="Tata Steel (Mining)")*(Raw_Financials!$B$2:$B$76="2020"),0)+1),""))/(IFERROR(INDEX(Raw_Financials!$M$2:$M$76, MATCH(1, (Raw_Financials!$A$2:$A$76="Tata Steel (Mining)")*(Raw_Financials!$B$2:$B$76="2020"),0)+1),"")))</f>
        <v>5.0097783933922315</v>
      </c>
      <c r="H67" cm="1">
        <f t="array" ref="H67">IF(OR(IFERROR(INDEX(Raw_Financials!$M$2:$M$76, MATCH(1, (Raw_Financials!$A$2:$A$76="Tata Steel (Mining)")*(Raw_Financials!$B$2:$B$76="2020"),0)+1),"")="",IFERROR(INDEX(Raw_Financials!$L$2:$L$76, MATCH(1, (Raw_Financials!$A$2:$A$76="Tata Steel (Mining)")*(Raw_Financials!$B$2:$B$76="2020"),0)+1),"")=""),"",(IFERROR(INDEX(Raw_Financials!$M$2:$M$76, MATCH(1, (Raw_Financials!$A$2:$A$76="Tata Steel (Mining)")*(Raw_Financials!$B$2:$B$76="2020"),0)+1),""))/(IFERROR(INDEX(Raw_Financials!$L$2:$L$76, MATCH(1, (Raw_Financials!$A$2:$A$76="Tata Steel (Mining)")*(Raw_Financials!$B$2:$B$76="2020"),0)+1),"")))</f>
        <v>2.8969499136369117</v>
      </c>
      <c r="I67" cm="1">
        <f t="array" ref="I67">IF(OR(IFERROR(INDEX(Raw_Financials!$N$2:$N$76, MATCH(1, (Raw_Financials!$A$2:$A$76="Tata Steel (Mining)")*(Raw_Financials!$B$2:$B$76="2020"),0)+1),"")="",IFERROR(INDEX(Raw_Financials!$J$2:$J$76, MATCH(1, (Raw_Financials!$A$2:$A$76="Tata Steel (Mining)")*(Raw_Financials!$B$2:$B$76="2020"),0)+1),"")=""),"",(IFERROR(INDEX(Raw_Financials!$N$2:$N$76, MATCH(1, (Raw_Financials!$A$2:$A$76="Tata Steel (Mining)")*(Raw_Financials!$B$2:$B$76="2020"),0)+1),""))-(IFERROR(INDEX(Raw_Financials!$J$2:$J$76, MATCH(1, (Raw_Financials!$A$2:$A$76="Tata Steel (Mining)")*(Raw_Financials!$B$2:$B$76="2020"),0)+1),"")))</f>
        <v>19679.330000000002</v>
      </c>
      <c r="J67" cm="1">
        <f t="array" ref="J67">IF(OR(IFERROR(INDEX(Raw_Financials!$M$2:$M$76, MATCH(1, (Raw_Financials!$A$2:$A$76="Tata Steel (Mining)")*(Raw_Financials!$B$2:$B$76="2020"),0)+1),"")="",IFERROR(INDEX(Raw_Financials!$C$2:$C$76, MATCH(1, (Raw_Financials!$A$2:$A$76="Tata Steel (Mining)")*(Raw_Financials!$B$2:$B$76="2020"),0)+1),"")=""),"",(IFERROR(INDEX(Raw_Financials!$M$2:$M$76, MATCH(1, (Raw_Financials!$A$2:$A$76="Tata Steel (Mining)")*(Raw_Financials!$B$2:$B$76="2020"),0)+1),""))/(IFERROR(INDEX(Raw_Financials!$C$2:$C$76, MATCH(1, (Raw_Financials!$A$2:$A$76="Tata Steel (Mining)")*(Raw_Financials!$B$2:$B$76="2020"),0)+1),"")))</f>
        <v>0.21090493127757873</v>
      </c>
      <c r="K67" cm="1">
        <f t="array" ref="K67">IF(OR(IFERROR(INDEX(Raw_ESG!$C$2:$C$76, MATCH(1, (Raw_ESG!$A$2:$A$76="Tata Steel (Mining)")*(Raw_ESG!$B$2:$B$76="2020"),0)+1),"")="",IFERROR(INDEX(Raw_Financials!$J$2:$J$76, MATCH(1, (Raw_Financials!$A$2:$A$76="Tata Steel (Mining)")*(Raw_Financials!$B$2:$B$76="2020"),0)+1),"")=""),"",(IFERROR(INDEX(Raw_ESG!$C$2:$C$76, MATCH(1, (Raw_ESG!$A$2:$A$76="Tata Steel (Mining)")*(Raw_ESG!$B$2:$B$76="2020"),0)+1),""))/(IFERROR(INDEX(Raw_Financials!$J$2:$J$76, MATCH(1, (Raw_Financials!$A$2:$A$76="Tata Steel (Mining)")*(Raw_Financials!$B$2:$B$76="2020"),0)+1),"")))</f>
        <v>0.5032230508197777</v>
      </c>
      <c r="L67" cm="1">
        <f t="array" ref="L67">IF(OR(IFERROR(INDEX(Raw_ESG!$D$2:$D$76, MATCH(1, (Raw_ESG!$A$2:$A$76="Tata Steel (Mining)")*(Raw_ESG!$B$2:$B$76="2020"),0)+1),"")="",IFERROR(INDEX(Raw_Financials!$E$2:$E$76, MATCH(1, (Raw_Financials!$A$2:$A$76="Tata Steel (Mining)")*(Raw_Financials!$B$2:$B$76="2020"),0)+1),"")=""),"",(IFERROR(INDEX(Raw_ESG!$D$2:$D$76, MATCH(1, (Raw_ESG!$A$2:$A$76="Tata Steel (Mining)")*(Raw_ESG!$B$2:$B$76="2020"),0)+1),""))/(IFERROR(INDEX(Raw_Financials!$E$2:$E$76, MATCH(1, (Raw_Financials!$A$2:$A$76="Tata Steel (Mining)")*(Raw_Financials!$B$2:$B$76="2020"),0)+1),"")))</f>
        <v>0.12981713196059771</v>
      </c>
      <c r="M67" cm="1">
        <f t="array" ref="M67">IF(OR(IFERROR(INDEX(Raw_ESG!$E$2:$E$76, MATCH(1, (Raw_ESG!$A$2:$A$76="Tata Steel (Mining)")*(Raw_ESG!$B$2:$B$76="2020"),0)+1),"")="",IFERROR(INDEX(Raw_ESG!$F$2:$F$76, MATCH(1, (Raw_ESG!$A$2:$A$76="Tata Steel (Mining)")*(Raw_ESG!$B$2:$B$76="2020"),0)+1),"")=""),"",(IFERROR(INDEX(Raw_ESG!$E$2:$E$76, MATCH(1, (Raw_ESG!$A$2:$A$76="Tata Steel (Mining)")*(Raw_ESG!$B$2:$B$76="2020"),0)+1),""))+(IFERROR(INDEX(Raw_ESG!$F$2:$F$76, MATCH(1, (Raw_ESG!$A$2:$A$76="Tata Steel (Mining)")*(Raw_ESG!$B$2:$B$76="2020"),0)+1),"")))</f>
        <v>109407.38</v>
      </c>
      <c r="N67" cm="1">
        <f t="array" ref="N67">IFERROR(INDEX(Raw_ESG!$G$2:$G$76, MATCH(1, (Raw_ESG!$A$2:$A$76="Tata Steel (Mining)")*(Raw_ESG!$B$2:$B$76="2020"),0)+1),"")</f>
        <v>88.06</v>
      </c>
    </row>
    <row r="68" spans="1:14" x14ac:dyDescent="0.35">
      <c r="A68" t="s">
        <v>15</v>
      </c>
      <c r="B68" t="s">
        <v>34</v>
      </c>
      <c r="C68" cm="1">
        <f t="array" ref="C68">IF(OR(IFERROR(INDEX(Raw_Financials!$E$2:$E$76, MATCH(1, (Raw_Financials!$A$2:$A$76="Tata Steel (Mining)")*(Raw_Financials!$B$2:$B$76="2021"),0)+1),"")="",IFERROR(INDEX(Raw_Financials!$D$2:$D$76, MATCH(1, (Raw_Financials!$A$2:$A$76="Tata Steel (Mining)")*(Raw_Financials!$B$2:$B$76="2021"),0)+1),"")=""),"",(IFERROR(INDEX(Raw_Financials!$D$2:$D$76, MATCH(1, (Raw_Financials!$A$2:$A$76="Tata Steel (Mining)")*(Raw_Financials!$B$2:$B$76="2021"),0)+1),""))/(IFERROR(INDEX(Raw_Financials!$E$2:$E$76, MATCH(1, (Raw_Financials!$A$2:$A$76="Tata Steel (Mining)")*(Raw_Financials!$B$2:$B$76="2021"),0)+1),"")))</f>
        <v>4.7130351985022183E-2</v>
      </c>
      <c r="D68" cm="1">
        <f t="array" ref="D68">IF(OR(IFERROR(INDEX(Raw_Financials!$E$2:$E$76, MATCH(1, (Raw_Financials!$A$2:$A$76="Tata Steel (Mining)")*(Raw_Financials!$B$2:$B$76="2021"),0)+1),"")="",IFERROR(INDEX(Raw_Financials!$C$2:$C$76, MATCH(1, (Raw_Financials!$A$2:$A$76="Tata Steel (Mining)")*(Raw_Financials!$B$2:$B$76="2021"),0)+1),"")=""),"",(IFERROR(INDEX(Raw_Financials!$C$2:$C$76, MATCH(1, (Raw_Financials!$A$2:$A$76="Tata Steel (Mining)")*(Raw_Financials!$B$2:$B$76="2021"),0)+1),""))/(IFERROR(INDEX(Raw_Financials!$E$2:$E$76, MATCH(1, (Raw_Financials!$A$2:$A$76="Tata Steel (Mining)")*(Raw_Financials!$B$2:$B$76="2021"),0)+1),"")))</f>
        <v>0.28628993027203614</v>
      </c>
      <c r="E68" cm="1">
        <f t="array" ref="E68">IF(OR(IFERROR(INDEX(Raw_Financials!$G$2:$G$76, MATCH(1, (Raw_Financials!$A$2:$A$76="Tata Steel (Mining)")*(Raw_Financials!$B$2:$B$76="2021"),0)+1),"")="",IFERROR(INDEX(Raw_Financials!$H$2:$H$76, MATCH(1, (Raw_Financials!$A$2:$A$76="Tata Steel (Mining)")*(Raw_Financials!$B$2:$B$76="2021"),0)+1),"")=""),"",(IFERROR(INDEX(Raw_Financials!$G$2:$G$76, MATCH(1, (Raw_Financials!$A$2:$A$76="Tata Steel (Mining)")*(Raw_Financials!$B$2:$B$76="2021"),0)+1),""))-(IFERROR(INDEX(Raw_Financials!$H$2:$H$76, MATCH(1, (Raw_Financials!$A$2:$A$76="Tata Steel (Mining)")*(Raw_Financials!$B$2:$B$76="2021"),0)+1),"")))</f>
        <v>17940.72</v>
      </c>
      <c r="F68" cm="1">
        <f t="array" ref="F68">IF(OR(IFERROR(INDEX(Raw_Financials!$C$2:$C$76, MATCH(1, (Raw_Financials!$A$2:$A$76="Tata Steel (Mining)")*(Raw_Financials!$B$2:$B$76="2021"),0)+1),"")="",IF(OR(IFERROR(INDEX(Raw_Financials!$G$2:$G$76, MATCH(1, (Raw_Financials!$A$2:$A$76="Tata Steel (Mining)")*(Raw_Financials!$B$2:$B$76="2021"),0)+1),"")="",IFERROR(INDEX(Raw_Financials!$H$2:$H$76, MATCH(1, (Raw_Financials!$A$2:$A$76="Tata Steel (Mining)")*(Raw_Financials!$B$2:$B$76="2021"),0)+1),"")=""),"",(IFERROR(INDEX(Raw_Financials!$G$2:$G$76, MATCH(1, (Raw_Financials!$A$2:$A$76="Tata Steel (Mining)")*(Raw_Financials!$B$2:$B$76="2021"),0)+1),""))-(IFERROR(INDEX(Raw_Financials!$H$2:$H$76, MATCH(1, (Raw_Financials!$A$2:$A$76="Tata Steel (Mining)")*(Raw_Financials!$B$2:$B$76="2021"),0)+1),"")))=""),"",(IFERROR(INDEX(Raw_Financials!$C$2:$C$76, MATCH(1, (Raw_Financials!$A$2:$A$76="Tata Steel (Mining)")*(Raw_Financials!$B$2:$B$76="2021"),0)+1),""))/(IF(OR(IFERROR(INDEX(Raw_Financials!$G$2:$G$76, MATCH(1, (Raw_Financials!$A$2:$A$76="Tata Steel (Mining)")*(Raw_Financials!$B$2:$B$76="2021"),0)+1),"")="",IFERROR(INDEX(Raw_Financials!$H$2:$H$76, MATCH(1, (Raw_Financials!$A$2:$A$76="Tata Steel (Mining)")*(Raw_Financials!$B$2:$B$76="2021"),0)+1),"")=""),"",(IFERROR(INDEX(Raw_Financials!$G$2:$G$76, MATCH(1, (Raw_Financials!$A$2:$A$76="Tata Steel (Mining)")*(Raw_Financials!$B$2:$B$76="2021"),0)+1),""))-(IFERROR(INDEX(Raw_Financials!$H$2:$H$76, MATCH(1, (Raw_Financials!$A$2:$A$76="Tata Steel (Mining)")*(Raw_Financials!$B$2:$B$76="2021"),0)+1),"")))))</f>
        <v>3.2294785270602291</v>
      </c>
      <c r="G68" cm="1">
        <f t="array" ref="G68">IF(OR(IFERROR(INDEX(Raw_Financials!$O$2:$O$76, MATCH(1, (Raw_Financials!$A$2:$A$76="Tata Steel (Mining)")*(Raw_Financials!$B$2:$B$76="2021"),0)+1),"")="",IFERROR(INDEX(Raw_Financials!$M$2:$M$76, MATCH(1, (Raw_Financials!$A$2:$A$76="Tata Steel (Mining)")*(Raw_Financials!$B$2:$B$76="2021"),0)+1),"")=""),"",(IFERROR(INDEX(Raw_Financials!$O$2:$O$76, MATCH(1, (Raw_Financials!$A$2:$A$76="Tata Steel (Mining)")*(Raw_Financials!$B$2:$B$76="2021"),0)+1),""))/(IFERROR(INDEX(Raw_Financials!$M$2:$M$76, MATCH(1, (Raw_Financials!$A$2:$A$76="Tata Steel (Mining)")*(Raw_Financials!$B$2:$B$76="2021"),0)+1),"")))</f>
        <v>1.8732613996787226</v>
      </c>
      <c r="H68" cm="1">
        <f t="array" ref="H68">IF(OR(IFERROR(INDEX(Raw_Financials!$M$2:$M$76, MATCH(1, (Raw_Financials!$A$2:$A$76="Tata Steel (Mining)")*(Raw_Financials!$B$2:$B$76="2021"),0)+1),"")="",IFERROR(INDEX(Raw_Financials!$L$2:$L$76, MATCH(1, (Raw_Financials!$A$2:$A$76="Tata Steel (Mining)")*(Raw_Financials!$B$2:$B$76="2021"),0)+1),"")=""),"",(IFERROR(INDEX(Raw_Financials!$M$2:$M$76, MATCH(1, (Raw_Financials!$A$2:$A$76="Tata Steel (Mining)")*(Raw_Financials!$B$2:$B$76="2021"),0)+1),""))/(IFERROR(INDEX(Raw_Financials!$L$2:$L$76, MATCH(1, (Raw_Financials!$A$2:$A$76="Tata Steel (Mining)")*(Raw_Financials!$B$2:$B$76="2021"),0)+1),"")))</f>
        <v>4.7288549208013428</v>
      </c>
      <c r="I68" cm="1">
        <f t="array" ref="I68">IF(OR(IFERROR(INDEX(Raw_Financials!$N$2:$N$76, MATCH(1, (Raw_Financials!$A$2:$A$76="Tata Steel (Mining)")*(Raw_Financials!$B$2:$B$76="2021"),0)+1),"")="",IFERROR(INDEX(Raw_Financials!$J$2:$J$76, MATCH(1, (Raw_Financials!$A$2:$A$76="Tata Steel (Mining)")*(Raw_Financials!$B$2:$B$76="2021"),0)+1),"")=""),"",(IFERROR(INDEX(Raw_Financials!$N$2:$N$76, MATCH(1, (Raw_Financials!$A$2:$A$76="Tata Steel (Mining)")*(Raw_Financials!$B$2:$B$76="2021"),0)+1),""))-(IFERROR(INDEX(Raw_Financials!$J$2:$J$76, MATCH(1, (Raw_Financials!$A$2:$A$76="Tata Steel (Mining)")*(Raw_Financials!$B$2:$B$76="2021"),0)+1),"")))</f>
        <v>2573.7900000000009</v>
      </c>
      <c r="J68" cm="1">
        <f t="array" ref="J68">IF(OR(IFERROR(INDEX(Raw_Financials!$M$2:$M$76, MATCH(1, (Raw_Financials!$A$2:$A$76="Tata Steel (Mining)")*(Raw_Financials!$B$2:$B$76="2021"),0)+1),"")="",IFERROR(INDEX(Raw_Financials!$C$2:$C$76, MATCH(1, (Raw_Financials!$A$2:$A$76="Tata Steel (Mining)")*(Raw_Financials!$B$2:$B$76="2021"),0)+1),"")=""),"",(IFERROR(INDEX(Raw_Financials!$M$2:$M$76, MATCH(1, (Raw_Financials!$A$2:$A$76="Tata Steel (Mining)")*(Raw_Financials!$B$2:$B$76="2021"),0)+1),""))/(IFERROR(INDEX(Raw_Financials!$C$2:$C$76, MATCH(1, (Raw_Financials!$A$2:$A$76="Tata Steel (Mining)")*(Raw_Financials!$B$2:$B$76="2021"),0)+1),"")))</f>
        <v>0.49198098626542291</v>
      </c>
      <c r="K68" cm="1">
        <f t="array" ref="K68">IF(OR(IFERROR(INDEX(Raw_ESG!$C$2:$C$76, MATCH(1, (Raw_ESG!$A$2:$A$76="Tata Steel (Mining)")*(Raw_ESG!$B$2:$B$76="2021"),0)+1),"")="",IFERROR(INDEX(Raw_Financials!$J$2:$J$76, MATCH(1, (Raw_Financials!$A$2:$A$76="Tata Steel (Mining)")*(Raw_Financials!$B$2:$B$76="2021"),0)+1),"")=""),"",(IFERROR(INDEX(Raw_ESG!$C$2:$C$76, MATCH(1, (Raw_ESG!$A$2:$A$76="Tata Steel (Mining)")*(Raw_ESG!$B$2:$B$76="2021"),0)+1),""))/(IFERROR(INDEX(Raw_Financials!$J$2:$J$76, MATCH(1, (Raw_Financials!$A$2:$A$76="Tata Steel (Mining)")*(Raw_Financials!$B$2:$B$76="2021"),0)+1),"")))</f>
        <v>0.45088046956530164</v>
      </c>
      <c r="L68" cm="1">
        <f t="array" ref="L68">IF(OR(IFERROR(INDEX(Raw_ESG!$D$2:$D$76, MATCH(1, (Raw_ESG!$A$2:$A$76="Tata Steel (Mining)")*(Raw_ESG!$B$2:$B$76="2021"),0)+1),"")="",IFERROR(INDEX(Raw_Financials!$E$2:$E$76, MATCH(1, (Raw_Financials!$A$2:$A$76="Tata Steel (Mining)")*(Raw_Financials!$B$2:$B$76="2021"),0)+1),"")=""),"",(IFERROR(INDEX(Raw_ESG!$D$2:$D$76, MATCH(1, (Raw_ESG!$A$2:$A$76="Tata Steel (Mining)")*(Raw_ESG!$B$2:$B$76="2021"),0)+1),""))/(IFERROR(INDEX(Raw_Financials!$E$2:$E$76, MATCH(1, (Raw_Financials!$A$2:$A$76="Tata Steel (Mining)")*(Raw_Financials!$B$2:$B$76="2021"),0)+1),"")))</f>
        <v>9.8552396773682688E-2</v>
      </c>
      <c r="M68" cm="1">
        <f t="array" ref="M68">IF(OR(IFERROR(INDEX(Raw_ESG!$E$2:$E$76, MATCH(1, (Raw_ESG!$A$2:$A$76="Tata Steel (Mining)")*(Raw_ESG!$B$2:$B$76="2021"),0)+1),"")="",IFERROR(INDEX(Raw_ESG!$F$2:$F$76, MATCH(1, (Raw_ESG!$A$2:$A$76="Tata Steel (Mining)")*(Raw_ESG!$B$2:$B$76="2021"),0)+1),"")=""),"",(IFERROR(INDEX(Raw_ESG!$E$2:$E$76, MATCH(1, (Raw_ESG!$A$2:$A$76="Tata Steel (Mining)")*(Raw_ESG!$B$2:$B$76="2021"),0)+1),""))+(IFERROR(INDEX(Raw_ESG!$F$2:$F$76, MATCH(1, (Raw_ESG!$A$2:$A$76="Tata Steel (Mining)")*(Raw_ESG!$B$2:$B$76="2021"),0)+1),"")))</f>
        <v>190779.16999999998</v>
      </c>
      <c r="N68" cm="1">
        <f t="array" ref="N68">IFERROR(INDEX(Raw_ESG!$G$2:$G$76, MATCH(1, (Raw_ESG!$A$2:$A$76="Tata Steel (Mining)")*(Raw_ESG!$B$2:$B$76="2021"),0)+1),"")</f>
        <v>85.27</v>
      </c>
    </row>
    <row r="69" spans="1:14" x14ac:dyDescent="0.35">
      <c r="A69" t="s">
        <v>15</v>
      </c>
      <c r="B69" t="s">
        <v>35</v>
      </c>
      <c r="C69" cm="1">
        <f t="array" ref="C69">IF(OR(IFERROR(INDEX(Raw_Financials!$E$2:$E$76, MATCH(1, (Raw_Financials!$A$2:$A$76="Tata Steel (Mining)")*(Raw_Financials!$B$2:$B$76="2022"),0)+1),"")="",IFERROR(INDEX(Raw_Financials!$D$2:$D$76, MATCH(1, (Raw_Financials!$A$2:$A$76="Tata Steel (Mining)")*(Raw_Financials!$B$2:$B$76="2022"),0)+1),"")=""),"",(IFERROR(INDEX(Raw_Financials!$D$2:$D$76, MATCH(1, (Raw_Financials!$A$2:$A$76="Tata Steel (Mining)")*(Raw_Financials!$B$2:$B$76="2022"),0)+1),""))/(IFERROR(INDEX(Raw_Financials!$E$2:$E$76, MATCH(1, (Raw_Financials!$A$2:$A$76="Tata Steel (Mining)")*(Raw_Financials!$B$2:$B$76="2022"),0)+1),"")))</f>
        <v>2.9854942512951569E-2</v>
      </c>
      <c r="D69" cm="1">
        <f t="array" ref="D69">IF(OR(IFERROR(INDEX(Raw_Financials!$E$2:$E$76, MATCH(1, (Raw_Financials!$A$2:$A$76="Tata Steel (Mining)")*(Raw_Financials!$B$2:$B$76="2022"),0)+1),"")="",IFERROR(INDEX(Raw_Financials!$C$2:$C$76, MATCH(1, (Raw_Financials!$A$2:$A$76="Tata Steel (Mining)")*(Raw_Financials!$B$2:$B$76="2022"),0)+1),"")=""),"",(IFERROR(INDEX(Raw_Financials!$C$2:$C$76, MATCH(1, (Raw_Financials!$A$2:$A$76="Tata Steel (Mining)")*(Raw_Financials!$B$2:$B$76="2022"),0)+1),""))/(IFERROR(INDEX(Raw_Financials!$E$2:$E$76, MATCH(1, (Raw_Financials!$A$2:$A$76="Tata Steel (Mining)")*(Raw_Financials!$B$2:$B$76="2022"),0)+1),"")))</f>
        <v>0.28021702575917201</v>
      </c>
      <c r="E69" cm="1">
        <f t="array" ref="E69">IF(OR(IFERROR(INDEX(Raw_Financials!$G$2:$G$76, MATCH(1, (Raw_Financials!$A$2:$A$76="Tata Steel (Mining)")*(Raw_Financials!$B$2:$B$76="2022"),0)+1),"")="",IFERROR(INDEX(Raw_Financials!$H$2:$H$76, MATCH(1, (Raw_Financials!$A$2:$A$76="Tata Steel (Mining)")*(Raw_Financials!$B$2:$B$76="2022"),0)+1),"")=""),"",(IFERROR(INDEX(Raw_Financials!$G$2:$G$76, MATCH(1, (Raw_Financials!$A$2:$A$76="Tata Steel (Mining)")*(Raw_Financials!$B$2:$B$76="2022"),0)+1),""))-(IFERROR(INDEX(Raw_Financials!$H$2:$H$76, MATCH(1, (Raw_Financials!$A$2:$A$76="Tata Steel (Mining)")*(Raw_Financials!$B$2:$B$76="2022"),0)+1),"")))</f>
        <v>28544.230000000003</v>
      </c>
      <c r="F69" cm="1">
        <f t="array" ref="F69">IF(OR(IFERROR(INDEX(Raw_Financials!$C$2:$C$76, MATCH(1, (Raw_Financials!$A$2:$A$76="Tata Steel (Mining)")*(Raw_Financials!$B$2:$B$76="2022"),0)+1),"")="",IF(OR(IFERROR(INDEX(Raw_Financials!$G$2:$G$76, MATCH(1, (Raw_Financials!$A$2:$A$76="Tata Steel (Mining)")*(Raw_Financials!$B$2:$B$76="2022"),0)+1),"")="",IFERROR(INDEX(Raw_Financials!$H$2:$H$76, MATCH(1, (Raw_Financials!$A$2:$A$76="Tata Steel (Mining)")*(Raw_Financials!$B$2:$B$76="2022"),0)+1),"")=""),"",(IFERROR(INDEX(Raw_Financials!$G$2:$G$76, MATCH(1, (Raw_Financials!$A$2:$A$76="Tata Steel (Mining)")*(Raw_Financials!$B$2:$B$76="2022"),0)+1),""))-(IFERROR(INDEX(Raw_Financials!$H$2:$H$76, MATCH(1, (Raw_Financials!$A$2:$A$76="Tata Steel (Mining)")*(Raw_Financials!$B$2:$B$76="2022"),0)+1),"")))=""),"",(IFERROR(INDEX(Raw_Financials!$C$2:$C$76, MATCH(1, (Raw_Financials!$A$2:$A$76="Tata Steel (Mining)")*(Raw_Financials!$B$2:$B$76="2022"),0)+1),""))/(IF(OR(IFERROR(INDEX(Raw_Financials!$G$2:$G$76, MATCH(1, (Raw_Financials!$A$2:$A$76="Tata Steel (Mining)")*(Raw_Financials!$B$2:$B$76="2022"),0)+1),"")="",IFERROR(INDEX(Raw_Financials!$H$2:$H$76, MATCH(1, (Raw_Financials!$A$2:$A$76="Tata Steel (Mining)")*(Raw_Financials!$B$2:$B$76="2022"),0)+1),"")=""),"",(IFERROR(INDEX(Raw_Financials!$G$2:$G$76, MATCH(1, (Raw_Financials!$A$2:$A$76="Tata Steel (Mining)")*(Raw_Financials!$B$2:$B$76="2022"),0)+1),""))-(IFERROR(INDEX(Raw_Financials!$H$2:$H$76, MATCH(1, (Raw_Financials!$A$2:$A$76="Tata Steel (Mining)")*(Raw_Financials!$B$2:$B$76="2022"),0)+1),"")))))</f>
        <v>2.0974820480356273</v>
      </c>
      <c r="G69" cm="1">
        <f t="array" ref="G69">IF(OR(IFERROR(INDEX(Raw_Financials!$O$2:$O$76, MATCH(1, (Raw_Financials!$A$2:$A$76="Tata Steel (Mining)")*(Raw_Financials!$B$2:$B$76="2022"),0)+1),"")="",IFERROR(INDEX(Raw_Financials!$M$2:$M$76, MATCH(1, (Raw_Financials!$A$2:$A$76="Tata Steel (Mining)")*(Raw_Financials!$B$2:$B$76="2022"),0)+1),"")=""),"",(IFERROR(INDEX(Raw_Financials!$O$2:$O$76, MATCH(1, (Raw_Financials!$A$2:$A$76="Tata Steel (Mining)")*(Raw_Financials!$B$2:$B$76="2022"),0)+1),""))/(IFERROR(INDEX(Raw_Financials!$M$2:$M$76, MATCH(1, (Raw_Financials!$A$2:$A$76="Tata Steel (Mining)")*(Raw_Financials!$B$2:$B$76="2022"),0)+1),"")))</f>
        <v>3.3985037452921985</v>
      </c>
      <c r="H69" cm="1">
        <f t="array" ref="H69">IF(OR(IFERROR(INDEX(Raw_Financials!$M$2:$M$76, MATCH(1, (Raw_Financials!$A$2:$A$76="Tata Steel (Mining)")*(Raw_Financials!$B$2:$B$76="2022"),0)+1),"")="",IFERROR(INDEX(Raw_Financials!$L$2:$L$76, MATCH(1, (Raw_Financials!$A$2:$A$76="Tata Steel (Mining)")*(Raw_Financials!$B$2:$B$76="2022"),0)+1),"")=""),"",(IFERROR(INDEX(Raw_Financials!$M$2:$M$76, MATCH(1, (Raw_Financials!$A$2:$A$76="Tata Steel (Mining)")*(Raw_Financials!$B$2:$B$76="2022"),0)+1),""))/(IFERROR(INDEX(Raw_Financials!$L$2:$L$76, MATCH(1, (Raw_Financials!$A$2:$A$76="Tata Steel (Mining)")*(Raw_Financials!$B$2:$B$76="2022"),0)+1),"")))</f>
        <v>1.6163775588524782</v>
      </c>
      <c r="I69" cm="1">
        <f t="array" ref="I69">IF(OR(IFERROR(INDEX(Raw_Financials!$N$2:$N$76, MATCH(1, (Raw_Financials!$A$2:$A$76="Tata Steel (Mining)")*(Raw_Financials!$B$2:$B$76="2022"),0)+1),"")="",IFERROR(INDEX(Raw_Financials!$J$2:$J$76, MATCH(1, (Raw_Financials!$A$2:$A$76="Tata Steel (Mining)")*(Raw_Financials!$B$2:$B$76="2022"),0)+1),"")=""),"",(IFERROR(INDEX(Raw_Financials!$N$2:$N$76, MATCH(1, (Raw_Financials!$A$2:$A$76="Tata Steel (Mining)")*(Raw_Financials!$B$2:$B$76="2022"),0)+1),""))-(IFERROR(INDEX(Raw_Financials!$J$2:$J$76, MATCH(1, (Raw_Financials!$A$2:$A$76="Tata Steel (Mining)")*(Raw_Financials!$B$2:$B$76="2022"),0)+1),"")))</f>
        <v>13961.26</v>
      </c>
      <c r="J69" cm="1">
        <f t="array" ref="J69">IF(OR(IFERROR(INDEX(Raw_Financials!$M$2:$M$76, MATCH(1, (Raw_Financials!$A$2:$A$76="Tata Steel (Mining)")*(Raw_Financials!$B$2:$B$76="2022"),0)+1),"")="",IFERROR(INDEX(Raw_Financials!$C$2:$C$76, MATCH(1, (Raw_Financials!$A$2:$A$76="Tata Steel (Mining)")*(Raw_Financials!$B$2:$B$76="2022"),0)+1),"")=""),"",(IFERROR(INDEX(Raw_Financials!$M$2:$M$76, MATCH(1, (Raw_Financials!$A$2:$A$76="Tata Steel (Mining)")*(Raw_Financials!$B$2:$B$76="2022"),0)+1),""))/(IFERROR(INDEX(Raw_Financials!$C$2:$C$76, MATCH(1, (Raw_Financials!$A$2:$A$76="Tata Steel (Mining)")*(Raw_Financials!$B$2:$B$76="2022"),0)+1),"")))</f>
        <v>0.17938815463443825</v>
      </c>
      <c r="K69" cm="1">
        <f t="array" ref="K69">IF(OR(IFERROR(INDEX(Raw_ESG!$C$2:$C$76, MATCH(1, (Raw_ESG!$A$2:$A$76="Tata Steel (Mining)")*(Raw_ESG!$B$2:$B$76="2022"),0)+1),"")="",IFERROR(INDEX(Raw_Financials!$J$2:$J$76, MATCH(1, (Raw_Financials!$A$2:$A$76="Tata Steel (Mining)")*(Raw_Financials!$B$2:$B$76="2022"),0)+1),"")=""),"",(IFERROR(INDEX(Raw_ESG!$C$2:$C$76, MATCH(1, (Raw_ESG!$A$2:$A$76="Tata Steel (Mining)")*(Raw_ESG!$B$2:$B$76="2022"),0)+1),""))/(IFERROR(INDEX(Raw_Financials!$J$2:$J$76, MATCH(1, (Raw_Financials!$A$2:$A$76="Tata Steel (Mining)")*(Raw_Financials!$B$2:$B$76="2022"),0)+1),"")))</f>
        <v>0.21365900387416153</v>
      </c>
      <c r="L69" cm="1">
        <f t="array" ref="L69">IF(OR(IFERROR(INDEX(Raw_ESG!$D$2:$D$76, MATCH(1, (Raw_ESG!$A$2:$A$76="Tata Steel (Mining)")*(Raw_ESG!$B$2:$B$76="2022"),0)+1),"")="",IFERROR(INDEX(Raw_Financials!$E$2:$E$76, MATCH(1, (Raw_Financials!$A$2:$A$76="Tata Steel (Mining)")*(Raw_Financials!$B$2:$B$76="2022"),0)+1),"")=""),"",(IFERROR(INDEX(Raw_ESG!$D$2:$D$76, MATCH(1, (Raw_ESG!$A$2:$A$76="Tata Steel (Mining)")*(Raw_ESG!$B$2:$B$76="2022"),0)+1),""))/(IFERROR(INDEX(Raw_Financials!$E$2:$E$76, MATCH(1, (Raw_Financials!$A$2:$A$76="Tata Steel (Mining)")*(Raw_Financials!$B$2:$B$76="2022"),0)+1),"")))</f>
        <v>7.4967765288899257E-2</v>
      </c>
      <c r="M69" cm="1">
        <f t="array" ref="M69">IF(OR(IFERROR(INDEX(Raw_ESG!$E$2:$E$76, MATCH(1, (Raw_ESG!$A$2:$A$76="Tata Steel (Mining)")*(Raw_ESG!$B$2:$B$76="2022"),0)+1),"")="",IFERROR(INDEX(Raw_ESG!$F$2:$F$76, MATCH(1, (Raw_ESG!$A$2:$A$76="Tata Steel (Mining)")*(Raw_ESG!$B$2:$B$76="2022"),0)+1),"")=""),"",(IFERROR(INDEX(Raw_ESG!$E$2:$E$76, MATCH(1, (Raw_ESG!$A$2:$A$76="Tata Steel (Mining)")*(Raw_ESG!$B$2:$B$76="2022"),0)+1),""))+(IFERROR(INDEX(Raw_ESG!$F$2:$F$76, MATCH(1, (Raw_ESG!$A$2:$A$76="Tata Steel (Mining)")*(Raw_ESG!$B$2:$B$76="2022"),0)+1),"")))</f>
        <v>157972.82</v>
      </c>
      <c r="N69" cm="1">
        <f t="array" ref="N69">IFERROR(INDEX(Raw_ESG!$G$2:$G$76, MATCH(1, (Raw_ESG!$A$2:$A$76="Tata Steel (Mining)")*(Raw_ESG!$B$2:$B$76="2022"),0)+1),"")</f>
        <v>49.79</v>
      </c>
    </row>
    <row r="70" spans="1:14" x14ac:dyDescent="0.35">
      <c r="A70" t="s">
        <v>15</v>
      </c>
      <c r="B70" t="s">
        <v>36</v>
      </c>
      <c r="C70" cm="1">
        <f t="array" ref="C70">IF(OR(IFERROR(INDEX(Raw_Financials!$E$2:$E$76, MATCH(1, (Raw_Financials!$A$2:$A$76="Tata Steel (Mining)")*(Raw_Financials!$B$2:$B$76="2023"),0)+1),"")="",IFERROR(INDEX(Raw_Financials!$D$2:$D$76, MATCH(1, (Raw_Financials!$A$2:$A$76="Tata Steel (Mining)")*(Raw_Financials!$B$2:$B$76="2023"),0)+1),"")=""),"",(IFERROR(INDEX(Raw_Financials!$D$2:$D$76, MATCH(1, (Raw_Financials!$A$2:$A$76="Tata Steel (Mining)")*(Raw_Financials!$B$2:$B$76="2023"),0)+1),""))/(IFERROR(INDEX(Raw_Financials!$E$2:$E$76, MATCH(1, (Raw_Financials!$A$2:$A$76="Tata Steel (Mining)")*(Raw_Financials!$B$2:$B$76="2023"),0)+1),"")))</f>
        <v>3.6572948689769624E-2</v>
      </c>
      <c r="D70" cm="1">
        <f t="array" ref="D70">IF(OR(IFERROR(INDEX(Raw_Financials!$E$2:$E$76, MATCH(1, (Raw_Financials!$A$2:$A$76="Tata Steel (Mining)")*(Raw_Financials!$B$2:$B$76="2023"),0)+1),"")="",IFERROR(INDEX(Raw_Financials!$C$2:$C$76, MATCH(1, (Raw_Financials!$A$2:$A$76="Tata Steel (Mining)")*(Raw_Financials!$B$2:$B$76="2023"),0)+1),"")=""),"",(IFERROR(INDEX(Raw_Financials!$C$2:$C$76, MATCH(1, (Raw_Financials!$A$2:$A$76="Tata Steel (Mining)")*(Raw_Financials!$B$2:$B$76="2023"),0)+1),""))/(IFERROR(INDEX(Raw_Financials!$E$2:$E$76, MATCH(1, (Raw_Financials!$A$2:$A$76="Tata Steel (Mining)")*(Raw_Financials!$B$2:$B$76="2023"),0)+1),"")))</f>
        <v>0.32558274222760886</v>
      </c>
      <c r="E70" cm="1">
        <f t="array" ref="E70">IF(OR(IFERROR(INDEX(Raw_Financials!$G$2:$G$76, MATCH(1, (Raw_Financials!$A$2:$A$76="Tata Steel (Mining)")*(Raw_Financials!$B$2:$B$76="2023"),0)+1),"")="",IFERROR(INDEX(Raw_Financials!$H$2:$H$76, MATCH(1, (Raw_Financials!$A$2:$A$76="Tata Steel (Mining)")*(Raw_Financials!$B$2:$B$76="2023"),0)+1),"")=""),"",(IFERROR(INDEX(Raw_Financials!$G$2:$G$76, MATCH(1, (Raw_Financials!$A$2:$A$76="Tata Steel (Mining)")*(Raw_Financials!$B$2:$B$76="2023"),0)+1),""))-(IFERROR(INDEX(Raw_Financials!$H$2:$H$76, MATCH(1, (Raw_Financials!$A$2:$A$76="Tata Steel (Mining)")*(Raw_Financials!$B$2:$B$76="2023"),0)+1),"")))</f>
        <v>1426.869999999999</v>
      </c>
      <c r="F70" cm="1">
        <f t="array" ref="F70">IF(OR(IFERROR(INDEX(Raw_Financials!$C$2:$C$76, MATCH(1, (Raw_Financials!$A$2:$A$76="Tata Steel (Mining)")*(Raw_Financials!$B$2:$B$76="2023"),0)+1),"")="",IF(OR(IFERROR(INDEX(Raw_Financials!$G$2:$G$76, MATCH(1, (Raw_Financials!$A$2:$A$76="Tata Steel (Mining)")*(Raw_Financials!$B$2:$B$76="2023"),0)+1),"")="",IFERROR(INDEX(Raw_Financials!$H$2:$H$76, MATCH(1, (Raw_Financials!$A$2:$A$76="Tata Steel (Mining)")*(Raw_Financials!$B$2:$B$76="2023"),0)+1),"")=""),"",(IFERROR(INDEX(Raw_Financials!$G$2:$G$76, MATCH(1, (Raw_Financials!$A$2:$A$76="Tata Steel (Mining)")*(Raw_Financials!$B$2:$B$76="2023"),0)+1),""))-(IFERROR(INDEX(Raw_Financials!$H$2:$H$76, MATCH(1, (Raw_Financials!$A$2:$A$76="Tata Steel (Mining)")*(Raw_Financials!$B$2:$B$76="2023"),0)+1),"")))=""),"",(IFERROR(INDEX(Raw_Financials!$C$2:$C$76, MATCH(1, (Raw_Financials!$A$2:$A$76="Tata Steel (Mining)")*(Raw_Financials!$B$2:$B$76="2023"),0)+1),""))/(IF(OR(IFERROR(INDEX(Raw_Financials!$G$2:$G$76, MATCH(1, (Raw_Financials!$A$2:$A$76="Tata Steel (Mining)")*(Raw_Financials!$B$2:$B$76="2023"),0)+1),"")="",IFERROR(INDEX(Raw_Financials!$H$2:$H$76, MATCH(1, (Raw_Financials!$A$2:$A$76="Tata Steel (Mining)")*(Raw_Financials!$B$2:$B$76="2023"),0)+1),"")=""),"",(IFERROR(INDEX(Raw_Financials!$G$2:$G$76, MATCH(1, (Raw_Financials!$A$2:$A$76="Tata Steel (Mining)")*(Raw_Financials!$B$2:$B$76="2023"),0)+1),""))-(IFERROR(INDEX(Raw_Financials!$H$2:$H$76, MATCH(1, (Raw_Financials!$A$2:$A$76="Tata Steel (Mining)")*(Raw_Financials!$B$2:$B$76="2023"),0)+1),"")))))</f>
        <v>41.920034761400863</v>
      </c>
      <c r="G70" cm="1">
        <f t="array" ref="G70">IF(OR(IFERROR(INDEX(Raw_Financials!$O$2:$O$76, MATCH(1, (Raw_Financials!$A$2:$A$76="Tata Steel (Mining)")*(Raw_Financials!$B$2:$B$76="2023"),0)+1),"")="",IFERROR(INDEX(Raw_Financials!$M$2:$M$76, MATCH(1, (Raw_Financials!$A$2:$A$76="Tata Steel (Mining)")*(Raw_Financials!$B$2:$B$76="2023"),0)+1),"")=""),"",(IFERROR(INDEX(Raw_Financials!$O$2:$O$76, MATCH(1, (Raw_Financials!$A$2:$A$76="Tata Steel (Mining)")*(Raw_Financials!$B$2:$B$76="2023"),0)+1),""))/(IFERROR(INDEX(Raw_Financials!$M$2:$M$76, MATCH(1, (Raw_Financials!$A$2:$A$76="Tata Steel (Mining)")*(Raw_Financials!$B$2:$B$76="2023"),0)+1),"")))</f>
        <v>1.1748772026673526</v>
      </c>
      <c r="H70" cm="1">
        <f t="array" ref="H70">IF(OR(IFERROR(INDEX(Raw_Financials!$M$2:$M$76, MATCH(1, (Raw_Financials!$A$2:$A$76="Tata Steel (Mining)")*(Raw_Financials!$B$2:$B$76="2023"),0)+1),"")="",IFERROR(INDEX(Raw_Financials!$L$2:$L$76, MATCH(1, (Raw_Financials!$A$2:$A$76="Tata Steel (Mining)")*(Raw_Financials!$B$2:$B$76="2023"),0)+1),"")=""),"",(IFERROR(INDEX(Raw_Financials!$M$2:$M$76, MATCH(1, (Raw_Financials!$A$2:$A$76="Tata Steel (Mining)")*(Raw_Financials!$B$2:$B$76="2023"),0)+1),""))/(IFERROR(INDEX(Raw_Financials!$L$2:$L$76, MATCH(1, (Raw_Financials!$A$2:$A$76="Tata Steel (Mining)")*(Raw_Financials!$B$2:$B$76="2023"),0)+1),"")))</f>
        <v>3.2204349563990191</v>
      </c>
      <c r="I70" cm="1">
        <f t="array" ref="I70">IF(OR(IFERROR(INDEX(Raw_Financials!$N$2:$N$76, MATCH(1, (Raw_Financials!$A$2:$A$76="Tata Steel (Mining)")*(Raw_Financials!$B$2:$B$76="2023"),0)+1),"")="",IFERROR(INDEX(Raw_Financials!$J$2:$J$76, MATCH(1, (Raw_Financials!$A$2:$A$76="Tata Steel (Mining)")*(Raw_Financials!$B$2:$B$76="2023"),0)+1),"")=""),"",(IFERROR(INDEX(Raw_Financials!$N$2:$N$76, MATCH(1, (Raw_Financials!$A$2:$A$76="Tata Steel (Mining)")*(Raw_Financials!$B$2:$B$76="2023"),0)+1),""))-(IFERROR(INDEX(Raw_Financials!$J$2:$J$76, MATCH(1, (Raw_Financials!$A$2:$A$76="Tata Steel (Mining)")*(Raw_Financials!$B$2:$B$76="2023"),0)+1),"")))</f>
        <v>10136.460000000003</v>
      </c>
      <c r="J70" cm="1">
        <f t="array" ref="J70">IF(OR(IFERROR(INDEX(Raw_Financials!$M$2:$M$76, MATCH(1, (Raw_Financials!$A$2:$A$76="Tata Steel (Mining)")*(Raw_Financials!$B$2:$B$76="2023"),0)+1),"")="",IFERROR(INDEX(Raw_Financials!$C$2:$C$76, MATCH(1, (Raw_Financials!$A$2:$A$76="Tata Steel (Mining)")*(Raw_Financials!$B$2:$B$76="2023"),0)+1),"")=""),"",(IFERROR(INDEX(Raw_Financials!$M$2:$M$76, MATCH(1, (Raw_Financials!$A$2:$A$76="Tata Steel (Mining)")*(Raw_Financials!$B$2:$B$76="2023"),0)+1),""))/(IFERROR(INDEX(Raw_Financials!$C$2:$C$76, MATCH(1, (Raw_Financials!$A$2:$A$76="Tata Steel (Mining)")*(Raw_Financials!$B$2:$B$76="2023"),0)+1),"")))</f>
        <v>0.37310823272774929</v>
      </c>
      <c r="K70" cm="1">
        <f t="array" ref="K70">IF(OR(IFERROR(INDEX(Raw_ESG!$C$2:$C$76, MATCH(1, (Raw_ESG!$A$2:$A$76="Tata Steel (Mining)")*(Raw_ESG!$B$2:$B$76="2023"),0)+1),"")="",IFERROR(INDEX(Raw_Financials!$J$2:$J$76, MATCH(1, (Raw_Financials!$A$2:$A$76="Tata Steel (Mining)")*(Raw_Financials!$B$2:$B$76="2023"),0)+1),"")=""),"",(IFERROR(INDEX(Raw_ESG!$C$2:$C$76, MATCH(1, (Raw_ESG!$A$2:$A$76="Tata Steel (Mining)")*(Raw_ESG!$B$2:$B$76="2023"),0)+1),""))/(IFERROR(INDEX(Raw_Financials!$J$2:$J$76, MATCH(1, (Raw_Financials!$A$2:$A$76="Tata Steel (Mining)")*(Raw_Financials!$B$2:$B$76="2023"),0)+1),"")))</f>
        <v>0.90801865764155987</v>
      </c>
      <c r="L70" cm="1">
        <f t="array" ref="L70">IF(OR(IFERROR(INDEX(Raw_ESG!$D$2:$D$76, MATCH(1, (Raw_ESG!$A$2:$A$76="Tata Steel (Mining)")*(Raw_ESG!$B$2:$B$76="2023"),0)+1),"")="",IFERROR(INDEX(Raw_Financials!$E$2:$E$76, MATCH(1, (Raw_Financials!$A$2:$A$76="Tata Steel (Mining)")*(Raw_Financials!$B$2:$B$76="2023"),0)+1),"")=""),"",(IFERROR(INDEX(Raw_ESG!$D$2:$D$76, MATCH(1, (Raw_ESG!$A$2:$A$76="Tata Steel (Mining)")*(Raw_ESG!$B$2:$B$76="2023"),0)+1),""))/(IFERROR(INDEX(Raw_Financials!$E$2:$E$76, MATCH(1, (Raw_Financials!$A$2:$A$76="Tata Steel (Mining)")*(Raw_Financials!$B$2:$B$76="2023"),0)+1),"")))</f>
        <v>8.5441081518538881E-2</v>
      </c>
      <c r="M70" cm="1">
        <f t="array" ref="M70">IF(OR(IFERROR(INDEX(Raw_ESG!$E$2:$E$76, MATCH(1, (Raw_ESG!$A$2:$A$76="Tata Steel (Mining)")*(Raw_ESG!$B$2:$B$76="2023"),0)+1),"")="",IFERROR(INDEX(Raw_ESG!$F$2:$F$76, MATCH(1, (Raw_ESG!$A$2:$A$76="Tata Steel (Mining)")*(Raw_ESG!$B$2:$B$76="2023"),0)+1),"")=""),"",(IFERROR(INDEX(Raw_ESG!$E$2:$E$76, MATCH(1, (Raw_ESG!$A$2:$A$76="Tata Steel (Mining)")*(Raw_ESG!$B$2:$B$76="2023"),0)+1),""))+(IFERROR(INDEX(Raw_ESG!$F$2:$F$76, MATCH(1, (Raw_ESG!$A$2:$A$76="Tata Steel (Mining)")*(Raw_ESG!$B$2:$B$76="2023"),0)+1),"")))</f>
        <v>166275.37</v>
      </c>
      <c r="N70" cm="1">
        <f t="array" ref="N70">IFERROR(INDEX(Raw_ESG!$G$2:$G$76, MATCH(1, (Raw_ESG!$A$2:$A$76="Tata Steel (Mining)")*(Raw_ESG!$B$2:$B$76="2023"),0)+1),"")</f>
        <v>43.47</v>
      </c>
    </row>
    <row r="71" spans="1:14" x14ac:dyDescent="0.35">
      <c r="A71" t="s">
        <v>15</v>
      </c>
      <c r="B71" t="s">
        <v>37</v>
      </c>
      <c r="C71" cm="1">
        <f t="array" ref="C71">IF(OR(IFERROR(INDEX(Raw_Financials!$E$2:$E$76, MATCH(1, (Raw_Financials!$A$2:$A$76="Tata Steel (Mining)")*(Raw_Financials!$B$2:$B$76="2024"),0)+1),"")="",IFERROR(INDEX(Raw_Financials!$D$2:$D$76, MATCH(1, (Raw_Financials!$A$2:$A$76="Tata Steel (Mining)")*(Raw_Financials!$B$2:$B$76="2024"),0)+1),"")=""),"",(IFERROR(INDEX(Raw_Financials!$D$2:$D$76, MATCH(1, (Raw_Financials!$A$2:$A$76="Tata Steel (Mining)")*(Raw_Financials!$B$2:$B$76="2024"),0)+1),""))/(IFERROR(INDEX(Raw_Financials!$E$2:$E$76, MATCH(1, (Raw_Financials!$A$2:$A$76="Tata Steel (Mining)")*(Raw_Financials!$B$2:$B$76="2024"),0)+1),"")))</f>
        <v>3.8133485963018188E-2</v>
      </c>
      <c r="D71" cm="1">
        <f t="array" ref="D71">IF(OR(IFERROR(INDEX(Raw_Financials!$E$2:$E$76, MATCH(1, (Raw_Financials!$A$2:$A$76="Tata Steel (Mining)")*(Raw_Financials!$B$2:$B$76="2024"),0)+1),"")="",IFERROR(INDEX(Raw_Financials!$C$2:$C$76, MATCH(1, (Raw_Financials!$A$2:$A$76="Tata Steel (Mining)")*(Raw_Financials!$B$2:$B$76="2024"),0)+1),"")=""),"",(IFERROR(INDEX(Raw_Financials!$C$2:$C$76, MATCH(1, (Raw_Financials!$A$2:$A$76="Tata Steel (Mining)")*(Raw_Financials!$B$2:$B$76="2024"),0)+1),""))/(IFERROR(INDEX(Raw_Financials!$E$2:$E$76, MATCH(1, (Raw_Financials!$A$2:$A$76="Tata Steel (Mining)")*(Raw_Financials!$B$2:$B$76="2024"),0)+1),"")))</f>
        <v>0.31842412784388413</v>
      </c>
      <c r="E71" cm="1">
        <f t="array" ref="E71">IF(OR(IFERROR(INDEX(Raw_Financials!$G$2:$G$76, MATCH(1, (Raw_Financials!$A$2:$A$76="Tata Steel (Mining)")*(Raw_Financials!$B$2:$B$76="2024"),0)+1),"")="",IFERROR(INDEX(Raw_Financials!$H$2:$H$76, MATCH(1, (Raw_Financials!$A$2:$A$76="Tata Steel (Mining)")*(Raw_Financials!$B$2:$B$76="2024"),0)+1),"")=""),"",(IFERROR(INDEX(Raw_Financials!$G$2:$G$76, MATCH(1, (Raw_Financials!$A$2:$A$76="Tata Steel (Mining)")*(Raw_Financials!$B$2:$B$76="2024"),0)+1),""))-(IFERROR(INDEX(Raw_Financials!$H$2:$H$76, MATCH(1, (Raw_Financials!$A$2:$A$76="Tata Steel (Mining)")*(Raw_Financials!$B$2:$B$76="2024"),0)+1),"")))</f>
        <v>34396.01</v>
      </c>
      <c r="F71" cm="1">
        <f t="array" ref="F71">IF(OR(IFERROR(INDEX(Raw_Financials!$C$2:$C$76, MATCH(1, (Raw_Financials!$A$2:$A$76="Tata Steel (Mining)")*(Raw_Financials!$B$2:$B$76="2024"),0)+1),"")="",IF(OR(IFERROR(INDEX(Raw_Financials!$G$2:$G$76, MATCH(1, (Raw_Financials!$A$2:$A$76="Tata Steel (Mining)")*(Raw_Financials!$B$2:$B$76="2024"),0)+1),"")="",IFERROR(INDEX(Raw_Financials!$H$2:$H$76, MATCH(1, (Raw_Financials!$A$2:$A$76="Tata Steel (Mining)")*(Raw_Financials!$B$2:$B$76="2024"),0)+1),"")=""),"",(IFERROR(INDEX(Raw_Financials!$G$2:$G$76, MATCH(1, (Raw_Financials!$A$2:$A$76="Tata Steel (Mining)")*(Raw_Financials!$B$2:$B$76="2024"),0)+1),""))-(IFERROR(INDEX(Raw_Financials!$H$2:$H$76, MATCH(1, (Raw_Financials!$A$2:$A$76="Tata Steel (Mining)")*(Raw_Financials!$B$2:$B$76="2024"),0)+1),"")))=""),"",(IFERROR(INDEX(Raw_Financials!$C$2:$C$76, MATCH(1, (Raw_Financials!$A$2:$A$76="Tata Steel (Mining)")*(Raw_Financials!$B$2:$B$76="2024"),0)+1),""))/(IF(OR(IFERROR(INDEX(Raw_Financials!$G$2:$G$76, MATCH(1, (Raw_Financials!$A$2:$A$76="Tata Steel (Mining)")*(Raw_Financials!$B$2:$B$76="2024"),0)+1),"")="",IFERROR(INDEX(Raw_Financials!$H$2:$H$76, MATCH(1, (Raw_Financials!$A$2:$A$76="Tata Steel (Mining)")*(Raw_Financials!$B$2:$B$76="2024"),0)+1),"")=""),"",(IFERROR(INDEX(Raw_Financials!$G$2:$G$76, MATCH(1, (Raw_Financials!$A$2:$A$76="Tata Steel (Mining)")*(Raw_Financials!$B$2:$B$76="2024"),0)+1),""))-(IFERROR(INDEX(Raw_Financials!$H$2:$H$76, MATCH(1, (Raw_Financials!$A$2:$A$76="Tata Steel (Mining)")*(Raw_Financials!$B$2:$B$76="2024"),0)+1),"")))))</f>
        <v>1.9983445754318596</v>
      </c>
      <c r="G71" cm="1">
        <f t="array" ref="G71">IF(OR(IFERROR(INDEX(Raw_Financials!$O$2:$O$76, MATCH(1, (Raw_Financials!$A$2:$A$76="Tata Steel (Mining)")*(Raw_Financials!$B$2:$B$76="2024"),0)+1),"")="",IFERROR(INDEX(Raw_Financials!$M$2:$M$76, MATCH(1, (Raw_Financials!$A$2:$A$76="Tata Steel (Mining)")*(Raw_Financials!$B$2:$B$76="2024"),0)+1),"")=""),"",(IFERROR(INDEX(Raw_Financials!$O$2:$O$76, MATCH(1, (Raw_Financials!$A$2:$A$76="Tata Steel (Mining)")*(Raw_Financials!$B$2:$B$76="2024"),0)+1),""))/(IFERROR(INDEX(Raw_Financials!$M$2:$M$76, MATCH(1, (Raw_Financials!$A$2:$A$76="Tata Steel (Mining)")*(Raw_Financials!$B$2:$B$76="2024"),0)+1),"")))</f>
        <v>2.3081725179936767</v>
      </c>
      <c r="H71" cm="1">
        <f t="array" ref="H71">IF(OR(IFERROR(INDEX(Raw_Financials!$M$2:$M$76, MATCH(1, (Raw_Financials!$A$2:$A$76="Tata Steel (Mining)")*(Raw_Financials!$B$2:$B$76="2024"),0)+1),"")="",IFERROR(INDEX(Raw_Financials!$L$2:$L$76, MATCH(1, (Raw_Financials!$A$2:$A$76="Tata Steel (Mining)")*(Raw_Financials!$B$2:$B$76="2024"),0)+1),"")=""),"",(IFERROR(INDEX(Raw_Financials!$M$2:$M$76, MATCH(1, (Raw_Financials!$A$2:$A$76="Tata Steel (Mining)")*(Raw_Financials!$B$2:$B$76="2024"),0)+1),""))/(IFERROR(INDEX(Raw_Financials!$L$2:$L$76, MATCH(1, (Raw_Financials!$A$2:$A$76="Tata Steel (Mining)")*(Raw_Financials!$B$2:$B$76="2024"),0)+1),"")))</f>
        <v>4.8733292771834478</v>
      </c>
      <c r="I71" cm="1">
        <f t="array" ref="I71">IF(OR(IFERROR(INDEX(Raw_Financials!$N$2:$N$76, MATCH(1, (Raw_Financials!$A$2:$A$76="Tata Steel (Mining)")*(Raw_Financials!$B$2:$B$76="2024"),0)+1),"")="",IFERROR(INDEX(Raw_Financials!$J$2:$J$76, MATCH(1, (Raw_Financials!$A$2:$A$76="Tata Steel (Mining)")*(Raw_Financials!$B$2:$B$76="2024"),0)+1),"")=""),"",(IFERROR(INDEX(Raw_Financials!$N$2:$N$76, MATCH(1, (Raw_Financials!$A$2:$A$76="Tata Steel (Mining)")*(Raw_Financials!$B$2:$B$76="2024"),0)+1),""))-(IFERROR(INDEX(Raw_Financials!$J$2:$J$76, MATCH(1, (Raw_Financials!$A$2:$A$76="Tata Steel (Mining)")*(Raw_Financials!$B$2:$B$76="2024"),0)+1),"")))</f>
        <v>28082.78</v>
      </c>
      <c r="J71" cm="1">
        <f t="array" ref="J71">IF(OR(IFERROR(INDEX(Raw_Financials!$M$2:$M$76, MATCH(1, (Raw_Financials!$A$2:$A$76="Tata Steel (Mining)")*(Raw_Financials!$B$2:$B$76="2024"),0)+1),"")="",IFERROR(INDEX(Raw_Financials!$C$2:$C$76, MATCH(1, (Raw_Financials!$A$2:$A$76="Tata Steel (Mining)")*(Raw_Financials!$B$2:$B$76="2024"),0)+1),"")=""),"",(IFERROR(INDEX(Raw_Financials!$M$2:$M$76, MATCH(1, (Raw_Financials!$A$2:$A$76="Tata Steel (Mining)")*(Raw_Financials!$B$2:$B$76="2024"),0)+1),""))/(IFERROR(INDEX(Raw_Financials!$C$2:$C$76, MATCH(1, (Raw_Financials!$A$2:$A$76="Tata Steel (Mining)")*(Raw_Financials!$B$2:$B$76="2024"),0)+1),"")))</f>
        <v>0.39970186984579054</v>
      </c>
      <c r="K71" cm="1">
        <f t="array" ref="K71">IF(OR(IFERROR(INDEX(Raw_ESG!$C$2:$C$76, MATCH(1, (Raw_ESG!$A$2:$A$76="Tata Steel (Mining)")*(Raw_ESG!$B$2:$B$76="2024"),0)+1),"")="",IFERROR(INDEX(Raw_Financials!$J$2:$J$76, MATCH(1, (Raw_Financials!$A$2:$A$76="Tata Steel (Mining)")*(Raw_Financials!$B$2:$B$76="2024"),0)+1),"")=""),"",(IFERROR(INDEX(Raw_ESG!$C$2:$C$76, MATCH(1, (Raw_ESG!$A$2:$A$76="Tata Steel (Mining)")*(Raw_ESG!$B$2:$B$76="2024"),0)+1),""))/(IFERROR(INDEX(Raw_Financials!$J$2:$J$76, MATCH(1, (Raw_Financials!$A$2:$A$76="Tata Steel (Mining)")*(Raw_Financials!$B$2:$B$76="2024"),0)+1),"")))</f>
        <v>0.70528898552106545</v>
      </c>
      <c r="L71" cm="1">
        <f t="array" ref="L71">IF(OR(IFERROR(INDEX(Raw_ESG!$D$2:$D$76, MATCH(1, (Raw_ESG!$A$2:$A$76="Tata Steel (Mining)")*(Raw_ESG!$B$2:$B$76="2024"),0)+1),"")="",IFERROR(INDEX(Raw_Financials!$E$2:$E$76, MATCH(1, (Raw_Financials!$A$2:$A$76="Tata Steel (Mining)")*(Raw_Financials!$B$2:$B$76="2024"),0)+1),"")=""),"",(IFERROR(INDEX(Raw_ESG!$D$2:$D$76, MATCH(1, (Raw_ESG!$A$2:$A$76="Tata Steel (Mining)")*(Raw_ESG!$B$2:$B$76="2024"),0)+1),""))/(IFERROR(INDEX(Raw_Financials!$E$2:$E$76, MATCH(1, (Raw_Financials!$A$2:$A$76="Tata Steel (Mining)")*(Raw_Financials!$B$2:$B$76="2024"),0)+1),"")))</f>
        <v>4.9743966174395783E-2</v>
      </c>
      <c r="M71" cm="1">
        <f t="array" ref="M71">IF(OR(IFERROR(INDEX(Raw_ESG!$E$2:$E$76, MATCH(1, (Raw_ESG!$A$2:$A$76="Tata Steel (Mining)")*(Raw_ESG!$B$2:$B$76="2024"),0)+1),"")="",IFERROR(INDEX(Raw_ESG!$F$2:$F$76, MATCH(1, (Raw_ESG!$A$2:$A$76="Tata Steel (Mining)")*(Raw_ESG!$B$2:$B$76="2024"),0)+1),"")=""),"",(IFERROR(INDEX(Raw_ESG!$E$2:$E$76, MATCH(1, (Raw_ESG!$A$2:$A$76="Tata Steel (Mining)")*(Raw_ESG!$B$2:$B$76="2024"),0)+1),""))+(IFERROR(INDEX(Raw_ESG!$F$2:$F$76, MATCH(1, (Raw_ESG!$A$2:$A$76="Tata Steel (Mining)")*(Raw_ESG!$B$2:$B$76="2024"),0)+1),"")))</f>
        <v>166873.45000000001</v>
      </c>
      <c r="N71" cm="1">
        <f t="array" ref="N71">IFERROR(INDEX(Raw_ESG!$G$2:$G$76, MATCH(1, (Raw_ESG!$A$2:$A$76="Tata Steel (Mining)")*(Raw_ESG!$B$2:$B$76="2024"),0)+1),"")</f>
        <v>45.04</v>
      </c>
    </row>
    <row r="72" spans="1:14" x14ac:dyDescent="0.35">
      <c r="A72" t="s">
        <v>16</v>
      </c>
      <c r="B72" t="s">
        <v>33</v>
      </c>
      <c r="C72" cm="1">
        <f t="array" ref="C72">IF(OR(IFERROR(INDEX(Raw_Financials!$E$2:$E$76, MATCH(1, (Raw_Financials!$A$2:$A$76="MOIL")*(Raw_Financials!$B$2:$B$76="2020"),0)+1),"")="",IFERROR(INDEX(Raw_Financials!$D$2:$D$76, MATCH(1, (Raw_Financials!$A$2:$A$76="MOIL")*(Raw_Financials!$B$2:$B$76="2020"),0)+1),"")=""),"",(IFERROR(INDEX(Raw_Financials!$D$2:$D$76, MATCH(1, (Raw_Financials!$A$2:$A$76="MOIL")*(Raw_Financials!$B$2:$B$76="2020"),0)+1),""))/(IFERROR(INDEX(Raw_Financials!$E$2:$E$76, MATCH(1, (Raw_Financials!$A$2:$A$76="MOIL")*(Raw_Financials!$B$2:$B$76="2020"),0)+1),"")))</f>
        <v>6.4542401578139494E-2</v>
      </c>
      <c r="D72" cm="1">
        <f t="array" ref="D72">IF(OR(IFERROR(INDEX(Raw_Financials!$E$2:$E$76, MATCH(1, (Raw_Financials!$A$2:$A$76="MOIL")*(Raw_Financials!$B$2:$B$76="2020"),0)+1),"")="",IFERROR(INDEX(Raw_Financials!$C$2:$C$76, MATCH(1, (Raw_Financials!$A$2:$A$76="MOIL")*(Raw_Financials!$B$2:$B$76="2020"),0)+1),"")=""),"",(IFERROR(INDEX(Raw_Financials!$C$2:$C$76, MATCH(1, (Raw_Financials!$A$2:$A$76="MOIL")*(Raw_Financials!$B$2:$B$76="2020"),0)+1),""))/(IFERROR(INDEX(Raw_Financials!$E$2:$E$76, MATCH(1, (Raw_Financials!$A$2:$A$76="MOIL")*(Raw_Financials!$B$2:$B$76="2020"),0)+1),"")))</f>
        <v>0.67574929737672762</v>
      </c>
      <c r="E72" cm="1">
        <f t="array" ref="E72">IF(OR(IFERROR(INDEX(Raw_Financials!$G$2:$G$76, MATCH(1, (Raw_Financials!$A$2:$A$76="MOIL")*(Raw_Financials!$B$2:$B$76="2020"),0)+1),"")="",IFERROR(INDEX(Raw_Financials!$H$2:$H$76, MATCH(1, (Raw_Financials!$A$2:$A$76="MOIL")*(Raw_Financials!$B$2:$B$76="2020"),0)+1),"")=""),"",(IFERROR(INDEX(Raw_Financials!$G$2:$G$76, MATCH(1, (Raw_Financials!$A$2:$A$76="MOIL")*(Raw_Financials!$B$2:$B$76="2020"),0)+1),""))-(IFERROR(INDEX(Raw_Financials!$H$2:$H$76, MATCH(1, (Raw_Financials!$A$2:$A$76="MOIL")*(Raw_Financials!$B$2:$B$76="2020"),0)+1),"")))</f>
        <v>7600.32</v>
      </c>
      <c r="F72" cm="1">
        <f t="array" ref="F72">IF(OR(IFERROR(INDEX(Raw_Financials!$C$2:$C$76, MATCH(1, (Raw_Financials!$A$2:$A$76="MOIL")*(Raw_Financials!$B$2:$B$76="2020"),0)+1),"")="",IF(OR(IFERROR(INDEX(Raw_Financials!$G$2:$G$76, MATCH(1, (Raw_Financials!$A$2:$A$76="MOIL")*(Raw_Financials!$B$2:$B$76="2020"),0)+1),"")="",IFERROR(INDEX(Raw_Financials!$H$2:$H$76, MATCH(1, (Raw_Financials!$A$2:$A$76="MOIL")*(Raw_Financials!$B$2:$B$76="2020"),0)+1),"")=""),"",(IFERROR(INDEX(Raw_Financials!$G$2:$G$76, MATCH(1, (Raw_Financials!$A$2:$A$76="MOIL")*(Raw_Financials!$B$2:$B$76="2020"),0)+1),""))-(IFERROR(INDEX(Raw_Financials!$H$2:$H$76, MATCH(1, (Raw_Financials!$A$2:$A$76="MOIL")*(Raw_Financials!$B$2:$B$76="2020"),0)+1),"")))=""),"",(IFERROR(INDEX(Raw_Financials!$C$2:$C$76, MATCH(1, (Raw_Financials!$A$2:$A$76="MOIL")*(Raw_Financials!$B$2:$B$76="2020"),0)+1),""))/(IF(OR(IFERROR(INDEX(Raw_Financials!$G$2:$G$76, MATCH(1, (Raw_Financials!$A$2:$A$76="MOIL")*(Raw_Financials!$B$2:$B$76="2020"),0)+1),"")="",IFERROR(INDEX(Raw_Financials!$H$2:$H$76, MATCH(1, (Raw_Financials!$A$2:$A$76="MOIL")*(Raw_Financials!$B$2:$B$76="2020"),0)+1),"")=""),"",(IFERROR(INDEX(Raw_Financials!$G$2:$G$76, MATCH(1, (Raw_Financials!$A$2:$A$76="MOIL")*(Raw_Financials!$B$2:$B$76="2020"),0)+1),""))-(IFERROR(INDEX(Raw_Financials!$H$2:$H$76, MATCH(1, (Raw_Financials!$A$2:$A$76="MOIL")*(Raw_Financials!$B$2:$B$76="2020"),0)+1),"")))))</f>
        <v>8.1416466675087378</v>
      </c>
      <c r="G72" cm="1">
        <f t="array" ref="G72">IF(OR(IFERROR(INDEX(Raw_Financials!$O$2:$O$76, MATCH(1, (Raw_Financials!$A$2:$A$76="MOIL")*(Raw_Financials!$B$2:$B$76="2020"),0)+1),"")="",IFERROR(INDEX(Raw_Financials!$M$2:$M$76, MATCH(1, (Raw_Financials!$A$2:$A$76="MOIL")*(Raw_Financials!$B$2:$B$76="2020"),0)+1),"")=""),"",(IFERROR(INDEX(Raw_Financials!$O$2:$O$76, MATCH(1, (Raw_Financials!$A$2:$A$76="MOIL")*(Raw_Financials!$B$2:$B$76="2020"),0)+1),""))/(IFERROR(INDEX(Raw_Financials!$M$2:$M$76, MATCH(1, (Raw_Financials!$A$2:$A$76="MOIL")*(Raw_Financials!$B$2:$B$76="2020"),0)+1),"")))</f>
        <v>3.1787064292666418</v>
      </c>
      <c r="H72" cm="1">
        <f t="array" ref="H72">IF(OR(IFERROR(INDEX(Raw_Financials!$M$2:$M$76, MATCH(1, (Raw_Financials!$A$2:$A$76="MOIL")*(Raw_Financials!$B$2:$B$76="2020"),0)+1),"")="",IFERROR(INDEX(Raw_Financials!$L$2:$L$76, MATCH(1, (Raw_Financials!$A$2:$A$76="MOIL")*(Raw_Financials!$B$2:$B$76="2020"),0)+1),"")=""),"",(IFERROR(INDEX(Raw_Financials!$M$2:$M$76, MATCH(1, (Raw_Financials!$A$2:$A$76="MOIL")*(Raw_Financials!$B$2:$B$76="2020"),0)+1),""))/(IFERROR(INDEX(Raw_Financials!$L$2:$L$76, MATCH(1, (Raw_Financials!$A$2:$A$76="MOIL")*(Raw_Financials!$B$2:$B$76="2020"),0)+1),"")))</f>
        <v>2.4944794793650966</v>
      </c>
      <c r="I72" cm="1">
        <f t="array" ref="I72">IF(OR(IFERROR(INDEX(Raw_Financials!$N$2:$N$76, MATCH(1, (Raw_Financials!$A$2:$A$76="MOIL")*(Raw_Financials!$B$2:$B$76="2020"),0)+1),"")="",IFERROR(INDEX(Raw_Financials!$J$2:$J$76, MATCH(1, (Raw_Financials!$A$2:$A$76="MOIL")*(Raw_Financials!$B$2:$B$76="2020"),0)+1),"")=""),"",(IFERROR(INDEX(Raw_Financials!$N$2:$N$76, MATCH(1, (Raw_Financials!$A$2:$A$76="MOIL")*(Raw_Financials!$B$2:$B$76="2020"),0)+1),""))-(IFERROR(INDEX(Raw_Financials!$J$2:$J$76, MATCH(1, (Raw_Financials!$A$2:$A$76="MOIL")*(Raw_Financials!$B$2:$B$76="2020"),0)+1),"")))</f>
        <v>16687.239999999998</v>
      </c>
      <c r="J72" cm="1">
        <f t="array" ref="J72">IF(OR(IFERROR(INDEX(Raw_Financials!$M$2:$M$76, MATCH(1, (Raw_Financials!$A$2:$A$76="MOIL")*(Raw_Financials!$B$2:$B$76="2020"),0)+1),"")="",IFERROR(INDEX(Raw_Financials!$C$2:$C$76, MATCH(1, (Raw_Financials!$A$2:$A$76="MOIL")*(Raw_Financials!$B$2:$B$76="2020"),0)+1),"")=""),"",(IFERROR(INDEX(Raw_Financials!$M$2:$M$76, MATCH(1, (Raw_Financials!$A$2:$A$76="MOIL")*(Raw_Financials!$B$2:$B$76="2020"),0)+1),""))/(IFERROR(INDEX(Raw_Financials!$C$2:$C$76, MATCH(1, (Raw_Financials!$A$2:$A$76="MOIL")*(Raw_Financials!$B$2:$B$76="2020"),0)+1),"")))</f>
        <v>0.29986625537014744</v>
      </c>
      <c r="K72" cm="1">
        <f t="array" ref="K72">IF(OR(IFERROR(INDEX(Raw_ESG!$C$2:$C$76, MATCH(1, (Raw_ESG!$A$2:$A$76="MOIL")*(Raw_ESG!$B$2:$B$76="2020"),0)+1),"")="",IFERROR(INDEX(Raw_Financials!$J$2:$J$76, MATCH(1, (Raw_Financials!$A$2:$A$76="MOIL")*(Raw_Financials!$B$2:$B$76="2020"),0)+1),"")=""),"",(IFERROR(INDEX(Raw_ESG!$C$2:$C$76, MATCH(1, (Raw_ESG!$A$2:$A$76="MOIL")*(Raw_ESG!$B$2:$B$76="2020"),0)+1),""))/(IFERROR(INDEX(Raw_Financials!$J$2:$J$76, MATCH(1, (Raw_Financials!$A$2:$A$76="MOIL")*(Raw_Financials!$B$2:$B$76="2020"),0)+1),"")))</f>
        <v>0.64446137470876763</v>
      </c>
      <c r="L72" cm="1">
        <f t="array" ref="L72">IF(OR(IFERROR(INDEX(Raw_ESG!$D$2:$D$76, MATCH(1, (Raw_ESG!$A$2:$A$76="MOIL")*(Raw_ESG!$B$2:$B$76="2020"),0)+1),"")="",IFERROR(INDEX(Raw_Financials!$E$2:$E$76, MATCH(1, (Raw_Financials!$A$2:$A$76="MOIL")*(Raw_Financials!$B$2:$B$76="2020"),0)+1),"")=""),"",(IFERROR(INDEX(Raw_ESG!$D$2:$D$76, MATCH(1, (Raw_ESG!$A$2:$A$76="MOIL")*(Raw_ESG!$B$2:$B$76="2020"),0)+1),""))/(IFERROR(INDEX(Raw_Financials!$E$2:$E$76, MATCH(1, (Raw_Financials!$A$2:$A$76="MOIL")*(Raw_Financials!$B$2:$B$76="2020"),0)+1),"")))</f>
        <v>0.24233939696271053</v>
      </c>
      <c r="M72" cm="1">
        <f t="array" ref="M72">IF(OR(IFERROR(INDEX(Raw_ESG!$E$2:$E$76, MATCH(1, (Raw_ESG!$A$2:$A$76="MOIL")*(Raw_ESG!$B$2:$B$76="2020"),0)+1),"")="",IFERROR(INDEX(Raw_ESG!$F$2:$F$76, MATCH(1, (Raw_ESG!$A$2:$A$76="MOIL")*(Raw_ESG!$B$2:$B$76="2020"),0)+1),"")=""),"",(IFERROR(INDEX(Raw_ESG!$E$2:$E$76, MATCH(1, (Raw_ESG!$A$2:$A$76="MOIL")*(Raw_ESG!$B$2:$B$76="2020"),0)+1),""))+(IFERROR(INDEX(Raw_ESG!$F$2:$F$76, MATCH(1, (Raw_ESG!$A$2:$A$76="MOIL")*(Raw_ESG!$B$2:$B$76="2020"),0)+1),"")))</f>
        <v>170330.54</v>
      </c>
      <c r="N72" cm="1">
        <f t="array" ref="N72">IFERROR(INDEX(Raw_ESG!$G$2:$G$76, MATCH(1, (Raw_ESG!$A$2:$A$76="MOIL")*(Raw_ESG!$B$2:$B$76="2020"),0)+1),"")</f>
        <v>40.909999999999997</v>
      </c>
    </row>
    <row r="73" spans="1:14" x14ac:dyDescent="0.35">
      <c r="A73" t="s">
        <v>16</v>
      </c>
      <c r="B73" t="s">
        <v>34</v>
      </c>
      <c r="C73" cm="1">
        <f t="array" ref="C73">IF(OR(IFERROR(INDEX(Raw_Financials!$E$2:$E$76, MATCH(1, (Raw_Financials!$A$2:$A$76="MOIL")*(Raw_Financials!$B$2:$B$76="2021"),0)+1),"")="",IFERROR(INDEX(Raw_Financials!$D$2:$D$76, MATCH(1, (Raw_Financials!$A$2:$A$76="MOIL")*(Raw_Financials!$B$2:$B$76="2021"),0)+1),"")=""),"",(IFERROR(INDEX(Raw_Financials!$D$2:$D$76, MATCH(1, (Raw_Financials!$A$2:$A$76="MOIL")*(Raw_Financials!$B$2:$B$76="2021"),0)+1),""))/(IFERROR(INDEX(Raw_Financials!$E$2:$E$76, MATCH(1, (Raw_Financials!$A$2:$A$76="MOIL")*(Raw_Financials!$B$2:$B$76="2021"),0)+1),"")))</f>
        <v>3.4258854006826066E-2</v>
      </c>
      <c r="D73" cm="1">
        <f t="array" ref="D73">IF(OR(IFERROR(INDEX(Raw_Financials!$E$2:$E$76, MATCH(1, (Raw_Financials!$A$2:$A$76="MOIL")*(Raw_Financials!$B$2:$B$76="2021"),0)+1),"")="",IFERROR(INDEX(Raw_Financials!$C$2:$C$76, MATCH(1, (Raw_Financials!$A$2:$A$76="MOIL")*(Raw_Financials!$B$2:$B$76="2021"),0)+1),"")=""),"",(IFERROR(INDEX(Raw_Financials!$C$2:$C$76, MATCH(1, (Raw_Financials!$A$2:$A$76="MOIL")*(Raw_Financials!$B$2:$B$76="2021"),0)+1),""))/(IFERROR(INDEX(Raw_Financials!$E$2:$E$76, MATCH(1, (Raw_Financials!$A$2:$A$76="MOIL")*(Raw_Financials!$B$2:$B$76="2021"),0)+1),"")))</f>
        <v>0.4672958138037181</v>
      </c>
      <c r="E73" cm="1">
        <f t="array" ref="E73">IF(OR(IFERROR(INDEX(Raw_Financials!$G$2:$G$76, MATCH(1, (Raw_Financials!$A$2:$A$76="MOIL")*(Raw_Financials!$B$2:$B$76="2021"),0)+1),"")="",IFERROR(INDEX(Raw_Financials!$H$2:$H$76, MATCH(1, (Raw_Financials!$A$2:$A$76="MOIL")*(Raw_Financials!$B$2:$B$76="2021"),0)+1),"")=""),"",(IFERROR(INDEX(Raw_Financials!$G$2:$G$76, MATCH(1, (Raw_Financials!$A$2:$A$76="MOIL")*(Raw_Financials!$B$2:$B$76="2021"),0)+1),""))-(IFERROR(INDEX(Raw_Financials!$H$2:$H$76, MATCH(1, (Raw_Financials!$A$2:$A$76="MOIL")*(Raw_Financials!$B$2:$B$76="2021"),0)+1),"")))</f>
        <v>28767.23</v>
      </c>
      <c r="F73" cm="1">
        <f t="array" ref="F73">IF(OR(IFERROR(INDEX(Raw_Financials!$C$2:$C$76, MATCH(1, (Raw_Financials!$A$2:$A$76="MOIL")*(Raw_Financials!$B$2:$B$76="2021"),0)+1),"")="",IF(OR(IFERROR(INDEX(Raw_Financials!$G$2:$G$76, MATCH(1, (Raw_Financials!$A$2:$A$76="MOIL")*(Raw_Financials!$B$2:$B$76="2021"),0)+1),"")="",IFERROR(INDEX(Raw_Financials!$H$2:$H$76, MATCH(1, (Raw_Financials!$A$2:$A$76="MOIL")*(Raw_Financials!$B$2:$B$76="2021"),0)+1),"")=""),"",(IFERROR(INDEX(Raw_Financials!$G$2:$G$76, MATCH(1, (Raw_Financials!$A$2:$A$76="MOIL")*(Raw_Financials!$B$2:$B$76="2021"),0)+1),""))-(IFERROR(INDEX(Raw_Financials!$H$2:$H$76, MATCH(1, (Raw_Financials!$A$2:$A$76="MOIL")*(Raw_Financials!$B$2:$B$76="2021"),0)+1),"")))=""),"",(IFERROR(INDEX(Raw_Financials!$C$2:$C$76, MATCH(1, (Raw_Financials!$A$2:$A$76="MOIL")*(Raw_Financials!$B$2:$B$76="2021"),0)+1),""))/(IF(OR(IFERROR(INDEX(Raw_Financials!$G$2:$G$76, MATCH(1, (Raw_Financials!$A$2:$A$76="MOIL")*(Raw_Financials!$B$2:$B$76="2021"),0)+1),"")="",IFERROR(INDEX(Raw_Financials!$H$2:$H$76, MATCH(1, (Raw_Financials!$A$2:$A$76="MOIL")*(Raw_Financials!$B$2:$B$76="2021"),0)+1),"")=""),"",(IFERROR(INDEX(Raw_Financials!$G$2:$G$76, MATCH(1, (Raw_Financials!$A$2:$A$76="MOIL")*(Raw_Financials!$B$2:$B$76="2021"),0)+1),""))-(IFERROR(INDEX(Raw_Financials!$H$2:$H$76, MATCH(1, (Raw_Financials!$A$2:$A$76="MOIL")*(Raw_Financials!$B$2:$B$76="2021"),0)+1),"")))))</f>
        <v>2.235781825361705</v>
      </c>
      <c r="G73" cm="1">
        <f t="array" ref="G73">IF(OR(IFERROR(INDEX(Raw_Financials!$O$2:$O$76, MATCH(1, (Raw_Financials!$A$2:$A$76="MOIL")*(Raw_Financials!$B$2:$B$76="2021"),0)+1),"")="",IFERROR(INDEX(Raw_Financials!$M$2:$M$76, MATCH(1, (Raw_Financials!$A$2:$A$76="MOIL")*(Raw_Financials!$B$2:$B$76="2021"),0)+1),"")=""),"",(IFERROR(INDEX(Raw_Financials!$O$2:$O$76, MATCH(1, (Raw_Financials!$A$2:$A$76="MOIL")*(Raw_Financials!$B$2:$B$76="2021"),0)+1),""))/(IFERROR(INDEX(Raw_Financials!$M$2:$M$76, MATCH(1, (Raw_Financials!$A$2:$A$76="MOIL")*(Raw_Financials!$B$2:$B$76="2021"),0)+1),"")))</f>
        <v>1.9195124250380526</v>
      </c>
      <c r="H73" cm="1">
        <f t="array" ref="H73">IF(OR(IFERROR(INDEX(Raw_Financials!$M$2:$M$76, MATCH(1, (Raw_Financials!$A$2:$A$76="MOIL")*(Raw_Financials!$B$2:$B$76="2021"),0)+1),"")="",IFERROR(INDEX(Raw_Financials!$L$2:$L$76, MATCH(1, (Raw_Financials!$A$2:$A$76="MOIL")*(Raw_Financials!$B$2:$B$76="2021"),0)+1),"")=""),"",(IFERROR(INDEX(Raw_Financials!$M$2:$M$76, MATCH(1, (Raw_Financials!$A$2:$A$76="MOIL")*(Raw_Financials!$B$2:$B$76="2021"),0)+1),""))/(IFERROR(INDEX(Raw_Financials!$L$2:$L$76, MATCH(1, (Raw_Financials!$A$2:$A$76="MOIL")*(Raw_Financials!$B$2:$B$76="2021"),0)+1),"")))</f>
        <v>7.8873156277676335</v>
      </c>
      <c r="I73" cm="1">
        <f t="array" ref="I73">IF(OR(IFERROR(INDEX(Raw_Financials!$N$2:$N$76, MATCH(1, (Raw_Financials!$A$2:$A$76="MOIL")*(Raw_Financials!$B$2:$B$76="2021"),0)+1),"")="",IFERROR(INDEX(Raw_Financials!$J$2:$J$76, MATCH(1, (Raw_Financials!$A$2:$A$76="MOIL")*(Raw_Financials!$B$2:$B$76="2021"),0)+1),"")=""),"",(IFERROR(INDEX(Raw_Financials!$N$2:$N$76, MATCH(1, (Raw_Financials!$A$2:$A$76="MOIL")*(Raw_Financials!$B$2:$B$76="2021"),0)+1),""))-(IFERROR(INDEX(Raw_Financials!$J$2:$J$76, MATCH(1, (Raw_Financials!$A$2:$A$76="MOIL")*(Raw_Financials!$B$2:$B$76="2021"),0)+1),"")))</f>
        <v>22070.829999999998</v>
      </c>
      <c r="J73" cm="1">
        <f t="array" ref="J73">IF(OR(IFERROR(INDEX(Raw_Financials!$M$2:$M$76, MATCH(1, (Raw_Financials!$A$2:$A$76="MOIL")*(Raw_Financials!$B$2:$B$76="2021"),0)+1),"")="",IFERROR(INDEX(Raw_Financials!$C$2:$C$76, MATCH(1, (Raw_Financials!$A$2:$A$76="MOIL")*(Raw_Financials!$B$2:$B$76="2021"),0)+1),"")=""),"",(IFERROR(INDEX(Raw_Financials!$M$2:$M$76, MATCH(1, (Raw_Financials!$A$2:$A$76="MOIL")*(Raw_Financials!$B$2:$B$76="2021"),0)+1),""))/(IFERROR(INDEX(Raw_Financials!$C$2:$C$76, MATCH(1, (Raw_Financials!$A$2:$A$76="MOIL")*(Raw_Financials!$B$2:$B$76="2021"),0)+1),"")))</f>
        <v>0.44862987767667306</v>
      </c>
      <c r="K73" cm="1">
        <f t="array" ref="K73">IF(OR(IFERROR(INDEX(Raw_ESG!$C$2:$C$76, MATCH(1, (Raw_ESG!$A$2:$A$76="MOIL")*(Raw_ESG!$B$2:$B$76="2021"),0)+1),"")="",IFERROR(INDEX(Raw_Financials!$J$2:$J$76, MATCH(1, (Raw_Financials!$A$2:$A$76="MOIL")*(Raw_Financials!$B$2:$B$76="2021"),0)+1),"")=""),"",(IFERROR(INDEX(Raw_ESG!$C$2:$C$76, MATCH(1, (Raw_ESG!$A$2:$A$76="MOIL")*(Raw_ESG!$B$2:$B$76="2021"),0)+1),""))/(IFERROR(INDEX(Raw_Financials!$J$2:$J$76, MATCH(1, (Raw_Financials!$A$2:$A$76="MOIL")*(Raw_Financials!$B$2:$B$76="2021"),0)+1),"")))</f>
        <v>0.37893270807784912</v>
      </c>
      <c r="L73" cm="1">
        <f t="array" ref="L73">IF(OR(IFERROR(INDEX(Raw_ESG!$D$2:$D$76, MATCH(1, (Raw_ESG!$A$2:$A$76="MOIL")*(Raw_ESG!$B$2:$B$76="2021"),0)+1),"")="",IFERROR(INDEX(Raw_Financials!$E$2:$E$76, MATCH(1, (Raw_Financials!$A$2:$A$76="MOIL")*(Raw_Financials!$B$2:$B$76="2021"),0)+1),"")=""),"",(IFERROR(INDEX(Raw_ESG!$D$2:$D$76, MATCH(1, (Raw_ESG!$A$2:$A$76="MOIL")*(Raw_ESG!$B$2:$B$76="2021"),0)+1),""))/(IFERROR(INDEX(Raw_Financials!$E$2:$E$76, MATCH(1, (Raw_Financials!$A$2:$A$76="MOIL")*(Raw_Financials!$B$2:$B$76="2021"),0)+1),"")))</f>
        <v>0.14569892191873821</v>
      </c>
      <c r="M73" cm="1">
        <f t="array" ref="M73">IF(OR(IFERROR(INDEX(Raw_ESG!$E$2:$E$76, MATCH(1, (Raw_ESG!$A$2:$A$76="MOIL")*(Raw_ESG!$B$2:$B$76="2021"),0)+1),"")="",IFERROR(INDEX(Raw_ESG!$F$2:$F$76, MATCH(1, (Raw_ESG!$A$2:$A$76="MOIL")*(Raw_ESG!$B$2:$B$76="2021"),0)+1),"")=""),"",(IFERROR(INDEX(Raw_ESG!$E$2:$E$76, MATCH(1, (Raw_ESG!$A$2:$A$76="MOIL")*(Raw_ESG!$B$2:$B$76="2021"),0)+1),""))+(IFERROR(INDEX(Raw_ESG!$F$2:$F$76, MATCH(1, (Raw_ESG!$A$2:$A$76="MOIL")*(Raw_ESG!$B$2:$B$76="2021"),0)+1),"")))</f>
        <v>95158.53</v>
      </c>
      <c r="N73" cm="1">
        <f t="array" ref="N73">IFERROR(INDEX(Raw_ESG!$G$2:$G$76, MATCH(1, (Raw_ESG!$A$2:$A$76="MOIL")*(Raw_ESG!$B$2:$B$76="2021"),0)+1),"")</f>
        <v>44.72</v>
      </c>
    </row>
    <row r="74" spans="1:14" x14ac:dyDescent="0.35">
      <c r="A74" t="s">
        <v>16</v>
      </c>
      <c r="B74" t="s">
        <v>35</v>
      </c>
      <c r="C74" cm="1">
        <f t="array" ref="C74">IF(OR(IFERROR(INDEX(Raw_Financials!$E$2:$E$76, MATCH(1, (Raw_Financials!$A$2:$A$76="MOIL")*(Raw_Financials!$B$2:$B$76="2022"),0)+1),"")="",IFERROR(INDEX(Raw_Financials!$D$2:$D$76, MATCH(1, (Raw_Financials!$A$2:$A$76="MOIL")*(Raw_Financials!$B$2:$B$76="2022"),0)+1),"")=""),"",(IFERROR(INDEX(Raw_Financials!$D$2:$D$76, MATCH(1, (Raw_Financials!$A$2:$A$76="MOIL")*(Raw_Financials!$B$2:$B$76="2022"),0)+1),""))/(IFERROR(INDEX(Raw_Financials!$E$2:$E$76, MATCH(1, (Raw_Financials!$A$2:$A$76="MOIL")*(Raw_Financials!$B$2:$B$76="2022"),0)+1),"")))</f>
        <v>5.5978716804249644E-2</v>
      </c>
      <c r="D74" cm="1">
        <f t="array" ref="D74">IF(OR(IFERROR(INDEX(Raw_Financials!$E$2:$E$76, MATCH(1, (Raw_Financials!$A$2:$A$76="MOIL")*(Raw_Financials!$B$2:$B$76="2022"),0)+1),"")="",IFERROR(INDEX(Raw_Financials!$C$2:$C$76, MATCH(1, (Raw_Financials!$A$2:$A$76="MOIL")*(Raw_Financials!$B$2:$B$76="2022"),0)+1),"")=""),"",(IFERROR(INDEX(Raw_Financials!$C$2:$C$76, MATCH(1, (Raw_Financials!$A$2:$A$76="MOIL")*(Raw_Financials!$B$2:$B$76="2022"),0)+1),""))/(IFERROR(INDEX(Raw_Financials!$E$2:$E$76, MATCH(1, (Raw_Financials!$A$2:$A$76="MOIL")*(Raw_Financials!$B$2:$B$76="2022"),0)+1),"")))</f>
        <v>0.32852092356156526</v>
      </c>
      <c r="E74" cm="1">
        <f t="array" ref="E74">IF(OR(IFERROR(INDEX(Raw_Financials!$G$2:$G$76, MATCH(1, (Raw_Financials!$A$2:$A$76="MOIL")*(Raw_Financials!$B$2:$B$76="2022"),0)+1),"")="",IFERROR(INDEX(Raw_Financials!$H$2:$H$76, MATCH(1, (Raw_Financials!$A$2:$A$76="MOIL")*(Raw_Financials!$B$2:$B$76="2022"),0)+1),"")=""),"",(IFERROR(INDEX(Raw_Financials!$G$2:$G$76, MATCH(1, (Raw_Financials!$A$2:$A$76="MOIL")*(Raw_Financials!$B$2:$B$76="2022"),0)+1),""))-(IFERROR(INDEX(Raw_Financials!$H$2:$H$76, MATCH(1, (Raw_Financials!$A$2:$A$76="MOIL")*(Raw_Financials!$B$2:$B$76="2022"),0)+1),"")))</f>
        <v>17269.730000000003</v>
      </c>
      <c r="F74" cm="1">
        <f t="array" ref="F74">IF(OR(IFERROR(INDEX(Raw_Financials!$C$2:$C$76, MATCH(1, (Raw_Financials!$A$2:$A$76="MOIL")*(Raw_Financials!$B$2:$B$76="2022"),0)+1),"")="",IF(OR(IFERROR(INDEX(Raw_Financials!$G$2:$G$76, MATCH(1, (Raw_Financials!$A$2:$A$76="MOIL")*(Raw_Financials!$B$2:$B$76="2022"),0)+1),"")="",IFERROR(INDEX(Raw_Financials!$H$2:$H$76, MATCH(1, (Raw_Financials!$A$2:$A$76="MOIL")*(Raw_Financials!$B$2:$B$76="2022"),0)+1),"")=""),"",(IFERROR(INDEX(Raw_Financials!$G$2:$G$76, MATCH(1, (Raw_Financials!$A$2:$A$76="MOIL")*(Raw_Financials!$B$2:$B$76="2022"),0)+1),""))-(IFERROR(INDEX(Raw_Financials!$H$2:$H$76, MATCH(1, (Raw_Financials!$A$2:$A$76="MOIL")*(Raw_Financials!$B$2:$B$76="2022"),0)+1),"")))=""),"",(IFERROR(INDEX(Raw_Financials!$C$2:$C$76, MATCH(1, (Raw_Financials!$A$2:$A$76="MOIL")*(Raw_Financials!$B$2:$B$76="2022"),0)+1),""))/(IF(OR(IFERROR(INDEX(Raw_Financials!$G$2:$G$76, MATCH(1, (Raw_Financials!$A$2:$A$76="MOIL")*(Raw_Financials!$B$2:$B$76="2022"),0)+1),"")="",IFERROR(INDEX(Raw_Financials!$H$2:$H$76, MATCH(1, (Raw_Financials!$A$2:$A$76="MOIL")*(Raw_Financials!$B$2:$B$76="2022"),0)+1),"")=""),"",(IFERROR(INDEX(Raw_Financials!$G$2:$G$76, MATCH(1, (Raw_Financials!$A$2:$A$76="MOIL")*(Raw_Financials!$B$2:$B$76="2022"),0)+1),""))-(IFERROR(INDEX(Raw_Financials!$H$2:$H$76, MATCH(1, (Raw_Financials!$A$2:$A$76="MOIL")*(Raw_Financials!$B$2:$B$76="2022"),0)+1),"")))))</f>
        <v>1.9587104141176495</v>
      </c>
      <c r="G74" cm="1">
        <f t="array" ref="G74">IF(OR(IFERROR(INDEX(Raw_Financials!$O$2:$O$76, MATCH(1, (Raw_Financials!$A$2:$A$76="MOIL")*(Raw_Financials!$B$2:$B$76="2022"),0)+1),"")="",IFERROR(INDEX(Raw_Financials!$M$2:$M$76, MATCH(1, (Raw_Financials!$A$2:$A$76="MOIL")*(Raw_Financials!$B$2:$B$76="2022"),0)+1),"")=""),"",(IFERROR(INDEX(Raw_Financials!$O$2:$O$76, MATCH(1, (Raw_Financials!$A$2:$A$76="MOIL")*(Raw_Financials!$B$2:$B$76="2022"),0)+1),""))/(IFERROR(INDEX(Raw_Financials!$M$2:$M$76, MATCH(1, (Raw_Financials!$A$2:$A$76="MOIL")*(Raw_Financials!$B$2:$B$76="2022"),0)+1),"")))</f>
        <v>4.6677835567855528</v>
      </c>
      <c r="H74" cm="1">
        <f t="array" ref="H74">IF(OR(IFERROR(INDEX(Raw_Financials!$M$2:$M$76, MATCH(1, (Raw_Financials!$A$2:$A$76="MOIL")*(Raw_Financials!$B$2:$B$76="2022"),0)+1),"")="",IFERROR(INDEX(Raw_Financials!$L$2:$L$76, MATCH(1, (Raw_Financials!$A$2:$A$76="MOIL")*(Raw_Financials!$B$2:$B$76="2022"),0)+1),"")=""),"",(IFERROR(INDEX(Raw_Financials!$M$2:$M$76, MATCH(1, (Raw_Financials!$A$2:$A$76="MOIL")*(Raw_Financials!$B$2:$B$76="2022"),0)+1),""))/(IFERROR(INDEX(Raw_Financials!$L$2:$L$76, MATCH(1, (Raw_Financials!$A$2:$A$76="MOIL")*(Raw_Financials!$B$2:$B$76="2022"),0)+1),"")))</f>
        <v>1.8031745097357161</v>
      </c>
      <c r="I74" cm="1">
        <f t="array" ref="I74">IF(OR(IFERROR(INDEX(Raw_Financials!$N$2:$N$76, MATCH(1, (Raw_Financials!$A$2:$A$76="MOIL")*(Raw_Financials!$B$2:$B$76="2022"),0)+1),"")="",IFERROR(INDEX(Raw_Financials!$J$2:$J$76, MATCH(1, (Raw_Financials!$A$2:$A$76="MOIL")*(Raw_Financials!$B$2:$B$76="2022"),0)+1),"")=""),"",(IFERROR(INDEX(Raw_Financials!$N$2:$N$76, MATCH(1, (Raw_Financials!$A$2:$A$76="MOIL")*(Raw_Financials!$B$2:$B$76="2022"),0)+1),""))-(IFERROR(INDEX(Raw_Financials!$J$2:$J$76, MATCH(1, (Raw_Financials!$A$2:$A$76="MOIL")*(Raw_Financials!$B$2:$B$76="2022"),0)+1),"")))</f>
        <v>8568.1899999999987</v>
      </c>
      <c r="J74" cm="1">
        <f t="array" ref="J74">IF(OR(IFERROR(INDEX(Raw_Financials!$M$2:$M$76, MATCH(1, (Raw_Financials!$A$2:$A$76="MOIL")*(Raw_Financials!$B$2:$B$76="2022"),0)+1),"")="",IFERROR(INDEX(Raw_Financials!$C$2:$C$76, MATCH(1, (Raw_Financials!$A$2:$A$76="MOIL")*(Raw_Financials!$B$2:$B$76="2022"),0)+1),"")=""),"",(IFERROR(INDEX(Raw_Financials!$M$2:$M$76, MATCH(1, (Raw_Financials!$A$2:$A$76="MOIL")*(Raw_Financials!$B$2:$B$76="2022"),0)+1),""))/(IFERROR(INDEX(Raw_Financials!$C$2:$C$76, MATCH(1, (Raw_Financials!$A$2:$A$76="MOIL")*(Raw_Financials!$B$2:$B$76="2022"),0)+1),"")))</f>
        <v>0.39844322777475577</v>
      </c>
      <c r="K74" cm="1">
        <f t="array" ref="K74">IF(OR(IFERROR(INDEX(Raw_ESG!$C$2:$C$76, MATCH(1, (Raw_ESG!$A$2:$A$76="MOIL")*(Raw_ESG!$B$2:$B$76="2022"),0)+1),"")="",IFERROR(INDEX(Raw_Financials!$J$2:$J$76, MATCH(1, (Raw_Financials!$A$2:$A$76="MOIL")*(Raw_Financials!$B$2:$B$76="2022"),0)+1),"")=""),"",(IFERROR(INDEX(Raw_ESG!$C$2:$C$76, MATCH(1, (Raw_ESG!$A$2:$A$76="MOIL")*(Raw_ESG!$B$2:$B$76="2022"),0)+1),""))/(IFERROR(INDEX(Raw_Financials!$J$2:$J$76, MATCH(1, (Raw_Financials!$A$2:$A$76="MOIL")*(Raw_Financials!$B$2:$B$76="2022"),0)+1),"")))</f>
        <v>0.47531265672582323</v>
      </c>
      <c r="L74" cm="1">
        <f t="array" ref="L74">IF(OR(IFERROR(INDEX(Raw_ESG!$D$2:$D$76, MATCH(1, (Raw_ESG!$A$2:$A$76="MOIL")*(Raw_ESG!$B$2:$B$76="2022"),0)+1),"")="",IFERROR(INDEX(Raw_Financials!$E$2:$E$76, MATCH(1, (Raw_Financials!$A$2:$A$76="MOIL")*(Raw_Financials!$B$2:$B$76="2022"),0)+1),"")=""),"",(IFERROR(INDEX(Raw_ESG!$D$2:$D$76, MATCH(1, (Raw_ESG!$A$2:$A$76="MOIL")*(Raw_ESG!$B$2:$B$76="2022"),0)+1),""))/(IFERROR(INDEX(Raw_Financials!$E$2:$E$76, MATCH(1, (Raw_Financials!$A$2:$A$76="MOIL")*(Raw_Financials!$B$2:$B$76="2022"),0)+1),"")))</f>
        <v>0.10711893101530665</v>
      </c>
      <c r="M74" cm="1">
        <f t="array" ref="M74">IF(OR(IFERROR(INDEX(Raw_ESG!$E$2:$E$76, MATCH(1, (Raw_ESG!$A$2:$A$76="MOIL")*(Raw_ESG!$B$2:$B$76="2022"),0)+1),"")="",IFERROR(INDEX(Raw_ESG!$F$2:$F$76, MATCH(1, (Raw_ESG!$A$2:$A$76="MOIL")*(Raw_ESG!$B$2:$B$76="2022"),0)+1),"")=""),"",(IFERROR(INDEX(Raw_ESG!$E$2:$E$76, MATCH(1, (Raw_ESG!$A$2:$A$76="MOIL")*(Raw_ESG!$B$2:$B$76="2022"),0)+1),""))+(IFERROR(INDEX(Raw_ESG!$F$2:$F$76, MATCH(1, (Raw_ESG!$A$2:$A$76="MOIL")*(Raw_ESG!$B$2:$B$76="2022"),0)+1),"")))</f>
        <v>142916.1</v>
      </c>
      <c r="N74" cm="1">
        <f t="array" ref="N74">IFERROR(INDEX(Raw_ESG!$G$2:$G$76, MATCH(1, (Raw_ESG!$A$2:$A$76="MOIL")*(Raw_ESG!$B$2:$B$76="2022"),0)+1),"")</f>
        <v>74.150000000000006</v>
      </c>
    </row>
    <row r="75" spans="1:14" x14ac:dyDescent="0.35">
      <c r="A75" t="s">
        <v>16</v>
      </c>
      <c r="B75" t="s">
        <v>36</v>
      </c>
      <c r="C75" cm="1">
        <f t="array" ref="C75">IF(OR(IFERROR(INDEX(Raw_Financials!$E$2:$E$76, MATCH(1, (Raw_Financials!$A$2:$A$76="MOIL")*(Raw_Financials!$B$2:$B$76="2023"),0)+1),"")="",IFERROR(INDEX(Raw_Financials!$D$2:$D$76, MATCH(1, (Raw_Financials!$A$2:$A$76="MOIL")*(Raw_Financials!$B$2:$B$76="2023"),0)+1),"")=""),"",(IFERROR(INDEX(Raw_Financials!$D$2:$D$76, MATCH(1, (Raw_Financials!$A$2:$A$76="MOIL")*(Raw_Financials!$B$2:$B$76="2023"),0)+1),""))/(IFERROR(INDEX(Raw_Financials!$E$2:$E$76, MATCH(1, (Raw_Financials!$A$2:$A$76="MOIL")*(Raw_Financials!$B$2:$B$76="2023"),0)+1),"")))</f>
        <v>5.3379193874257831E-2</v>
      </c>
      <c r="D75" cm="1">
        <f t="array" ref="D75">IF(OR(IFERROR(INDEX(Raw_Financials!$E$2:$E$76, MATCH(1, (Raw_Financials!$A$2:$A$76="MOIL")*(Raw_Financials!$B$2:$B$76="2023"),0)+1),"")="",IFERROR(INDEX(Raw_Financials!$C$2:$C$76, MATCH(1, (Raw_Financials!$A$2:$A$76="MOIL")*(Raw_Financials!$B$2:$B$76="2023"),0)+1),"")=""),"",(IFERROR(INDEX(Raw_Financials!$C$2:$C$76, MATCH(1, (Raw_Financials!$A$2:$A$76="MOIL")*(Raw_Financials!$B$2:$B$76="2023"),0)+1),""))/(IFERROR(INDEX(Raw_Financials!$E$2:$E$76, MATCH(1, (Raw_Financials!$A$2:$A$76="MOIL")*(Raw_Financials!$B$2:$B$76="2023"),0)+1),"")))</f>
        <v>0.60596905445055038</v>
      </c>
      <c r="E75" cm="1">
        <f t="array" ref="E75">IF(OR(IFERROR(INDEX(Raw_Financials!$G$2:$G$76, MATCH(1, (Raw_Financials!$A$2:$A$76="MOIL")*(Raw_Financials!$B$2:$B$76="2023"),0)+1),"")="",IFERROR(INDEX(Raw_Financials!$H$2:$H$76, MATCH(1, (Raw_Financials!$A$2:$A$76="MOIL")*(Raw_Financials!$B$2:$B$76="2023"),0)+1),"")=""),"",(IFERROR(INDEX(Raw_Financials!$G$2:$G$76, MATCH(1, (Raw_Financials!$A$2:$A$76="MOIL")*(Raw_Financials!$B$2:$B$76="2023"),0)+1),""))-(IFERROR(INDEX(Raw_Financials!$H$2:$H$76, MATCH(1, (Raw_Financials!$A$2:$A$76="MOIL")*(Raw_Financials!$B$2:$B$76="2023"),0)+1),"")))</f>
        <v>11315.009999999998</v>
      </c>
      <c r="F75" cm="1">
        <f t="array" ref="F75">IF(OR(IFERROR(INDEX(Raw_Financials!$C$2:$C$76, MATCH(1, (Raw_Financials!$A$2:$A$76="MOIL")*(Raw_Financials!$B$2:$B$76="2023"),0)+1),"")="",IF(OR(IFERROR(INDEX(Raw_Financials!$G$2:$G$76, MATCH(1, (Raw_Financials!$A$2:$A$76="MOIL")*(Raw_Financials!$B$2:$B$76="2023"),0)+1),"")="",IFERROR(INDEX(Raw_Financials!$H$2:$H$76, MATCH(1, (Raw_Financials!$A$2:$A$76="MOIL")*(Raw_Financials!$B$2:$B$76="2023"),0)+1),"")=""),"",(IFERROR(INDEX(Raw_Financials!$G$2:$G$76, MATCH(1, (Raw_Financials!$A$2:$A$76="MOIL")*(Raw_Financials!$B$2:$B$76="2023"),0)+1),""))-(IFERROR(INDEX(Raw_Financials!$H$2:$H$76, MATCH(1, (Raw_Financials!$A$2:$A$76="MOIL")*(Raw_Financials!$B$2:$B$76="2023"),0)+1),"")))=""),"",(IFERROR(INDEX(Raw_Financials!$C$2:$C$76, MATCH(1, (Raw_Financials!$A$2:$A$76="MOIL")*(Raw_Financials!$B$2:$B$76="2023"),0)+1),""))/(IF(OR(IFERROR(INDEX(Raw_Financials!$G$2:$G$76, MATCH(1, (Raw_Financials!$A$2:$A$76="MOIL")*(Raw_Financials!$B$2:$B$76="2023"),0)+1),"")="",IFERROR(INDEX(Raw_Financials!$H$2:$H$76, MATCH(1, (Raw_Financials!$A$2:$A$76="MOIL")*(Raw_Financials!$B$2:$B$76="2023"),0)+1),"")=""),"",(IFERROR(INDEX(Raw_Financials!$G$2:$G$76, MATCH(1, (Raw_Financials!$A$2:$A$76="MOIL")*(Raw_Financials!$B$2:$B$76="2023"),0)+1),""))-(IFERROR(INDEX(Raw_Financials!$H$2:$H$76, MATCH(1, (Raw_Financials!$A$2:$A$76="MOIL")*(Raw_Financials!$B$2:$B$76="2023"),0)+1),"")))))</f>
        <v>5.8145472253228245</v>
      </c>
      <c r="G75" cm="1">
        <f t="array" ref="G75">IF(OR(IFERROR(INDEX(Raw_Financials!$O$2:$O$76, MATCH(1, (Raw_Financials!$A$2:$A$76="MOIL")*(Raw_Financials!$B$2:$B$76="2023"),0)+1),"")="",IFERROR(INDEX(Raw_Financials!$M$2:$M$76, MATCH(1, (Raw_Financials!$A$2:$A$76="MOIL")*(Raw_Financials!$B$2:$B$76="2023"),0)+1),"")=""),"",(IFERROR(INDEX(Raw_Financials!$O$2:$O$76, MATCH(1, (Raw_Financials!$A$2:$A$76="MOIL")*(Raw_Financials!$B$2:$B$76="2023"),0)+1),""))/(IFERROR(INDEX(Raw_Financials!$M$2:$M$76, MATCH(1, (Raw_Financials!$A$2:$A$76="MOIL")*(Raw_Financials!$B$2:$B$76="2023"),0)+1),"")))</f>
        <v>2.452078418834807</v>
      </c>
      <c r="H75" cm="1">
        <f t="array" ref="H75">IF(OR(IFERROR(INDEX(Raw_Financials!$M$2:$M$76, MATCH(1, (Raw_Financials!$A$2:$A$76="MOIL")*(Raw_Financials!$B$2:$B$76="2023"),0)+1),"")="",IFERROR(INDEX(Raw_Financials!$L$2:$L$76, MATCH(1, (Raw_Financials!$A$2:$A$76="MOIL")*(Raw_Financials!$B$2:$B$76="2023"),0)+1),"")=""),"",(IFERROR(INDEX(Raw_Financials!$M$2:$M$76, MATCH(1, (Raw_Financials!$A$2:$A$76="MOIL")*(Raw_Financials!$B$2:$B$76="2023"),0)+1),""))/(IFERROR(INDEX(Raw_Financials!$L$2:$L$76, MATCH(1, (Raw_Financials!$A$2:$A$76="MOIL")*(Raw_Financials!$B$2:$B$76="2023"),0)+1),"")))</f>
        <v>8.8242549014001277</v>
      </c>
      <c r="I75" cm="1">
        <f t="array" ref="I75">IF(OR(IFERROR(INDEX(Raw_Financials!$N$2:$N$76, MATCH(1, (Raw_Financials!$A$2:$A$76="MOIL")*(Raw_Financials!$B$2:$B$76="2023"),0)+1),"")="",IFERROR(INDEX(Raw_Financials!$J$2:$J$76, MATCH(1, (Raw_Financials!$A$2:$A$76="MOIL")*(Raw_Financials!$B$2:$B$76="2023"),0)+1),"")=""),"",(IFERROR(INDEX(Raw_Financials!$N$2:$N$76, MATCH(1, (Raw_Financials!$A$2:$A$76="MOIL")*(Raw_Financials!$B$2:$B$76="2023"),0)+1),""))-(IFERROR(INDEX(Raw_Financials!$J$2:$J$76, MATCH(1, (Raw_Financials!$A$2:$A$76="MOIL")*(Raw_Financials!$B$2:$B$76="2023"),0)+1),"")))</f>
        <v>22616.68</v>
      </c>
      <c r="J75" cm="1">
        <f t="array" ref="J75">IF(OR(IFERROR(INDEX(Raw_Financials!$M$2:$M$76, MATCH(1, (Raw_Financials!$A$2:$A$76="MOIL")*(Raw_Financials!$B$2:$B$76="2023"),0)+1),"")="",IFERROR(INDEX(Raw_Financials!$C$2:$C$76, MATCH(1, (Raw_Financials!$A$2:$A$76="MOIL")*(Raw_Financials!$B$2:$B$76="2023"),0)+1),"")=""),"",(IFERROR(INDEX(Raw_Financials!$M$2:$M$76, MATCH(1, (Raw_Financials!$A$2:$A$76="MOIL")*(Raw_Financials!$B$2:$B$76="2023"),0)+1),""))/(IFERROR(INDEX(Raw_Financials!$C$2:$C$76, MATCH(1, (Raw_Financials!$A$2:$A$76="MOIL")*(Raw_Financials!$B$2:$B$76="2023"),0)+1),"")))</f>
        <v>0.42216536260067</v>
      </c>
      <c r="K75" cm="1">
        <f t="array" ref="K75">IF(OR(IFERROR(INDEX(Raw_ESG!$C$2:$C$76, MATCH(1, (Raw_ESG!$A$2:$A$76="MOIL")*(Raw_ESG!$B$2:$B$76="2023"),0)+1),"")="",IFERROR(INDEX(Raw_Financials!$J$2:$J$76, MATCH(1, (Raw_Financials!$A$2:$A$76="MOIL")*(Raw_Financials!$B$2:$B$76="2023"),0)+1),"")=""),"",(IFERROR(INDEX(Raw_ESG!$C$2:$C$76, MATCH(1, (Raw_ESG!$A$2:$A$76="MOIL")*(Raw_ESG!$B$2:$B$76="2023"),0)+1),""))/(IFERROR(INDEX(Raw_Financials!$J$2:$J$76, MATCH(1, (Raw_Financials!$A$2:$A$76="MOIL")*(Raw_Financials!$B$2:$B$76="2023"),0)+1),"")))</f>
        <v>0.43807338283987712</v>
      </c>
      <c r="L75" cm="1">
        <f t="array" ref="L75">IF(OR(IFERROR(INDEX(Raw_ESG!$D$2:$D$76, MATCH(1, (Raw_ESG!$A$2:$A$76="MOIL")*(Raw_ESG!$B$2:$B$76="2023"),0)+1),"")="",IFERROR(INDEX(Raw_Financials!$E$2:$E$76, MATCH(1, (Raw_Financials!$A$2:$A$76="MOIL")*(Raw_Financials!$B$2:$B$76="2023"),0)+1),"")=""),"",(IFERROR(INDEX(Raw_ESG!$D$2:$D$76, MATCH(1, (Raw_ESG!$A$2:$A$76="MOIL")*(Raw_ESG!$B$2:$B$76="2023"),0)+1),""))/(IFERROR(INDEX(Raw_Financials!$E$2:$E$76, MATCH(1, (Raw_Financials!$A$2:$A$76="MOIL")*(Raw_Financials!$B$2:$B$76="2023"),0)+1),"")))</f>
        <v>0.14343328116549436</v>
      </c>
      <c r="M75" cm="1">
        <f t="array" ref="M75">IF(OR(IFERROR(INDEX(Raw_ESG!$E$2:$E$76, MATCH(1, (Raw_ESG!$A$2:$A$76="MOIL")*(Raw_ESG!$B$2:$B$76="2023"),0)+1),"")="",IFERROR(INDEX(Raw_ESG!$F$2:$F$76, MATCH(1, (Raw_ESG!$A$2:$A$76="MOIL")*(Raw_ESG!$B$2:$B$76="2023"),0)+1),"")=""),"",(IFERROR(INDEX(Raw_ESG!$E$2:$E$76, MATCH(1, (Raw_ESG!$A$2:$A$76="MOIL")*(Raw_ESG!$B$2:$B$76="2023"),0)+1),""))+(IFERROR(INDEX(Raw_ESG!$F$2:$F$76, MATCH(1, (Raw_ESG!$A$2:$A$76="MOIL")*(Raw_ESG!$B$2:$B$76="2023"),0)+1),"")))</f>
        <v>105787.61</v>
      </c>
      <c r="N75" cm="1">
        <f t="array" ref="N75">IFERROR(INDEX(Raw_ESG!$G$2:$G$76, MATCH(1, (Raw_ESG!$A$2:$A$76="MOIL")*(Raw_ESG!$B$2:$B$76="2023"),0)+1),"")</f>
        <v>43.56</v>
      </c>
    </row>
    <row r="76" spans="1:14" x14ac:dyDescent="0.35">
      <c r="A76" t="s">
        <v>16</v>
      </c>
      <c r="B76" t="s">
        <v>37</v>
      </c>
      <c r="C76">
        <v>4.1856711832522667E-2</v>
      </c>
      <c r="D76">
        <v>0.2222982294458794</v>
      </c>
      <c r="E76">
        <v>-1706.4199999999983</v>
      </c>
      <c r="F76">
        <v>-20.024513308564149</v>
      </c>
      <c r="G76">
        <v>1.9729484521964307</v>
      </c>
      <c r="H76">
        <v>5.3769117324045306</v>
      </c>
      <c r="I76">
        <v>9570.39</v>
      </c>
      <c r="J76">
        <v>0.75221969533128685</v>
      </c>
      <c r="K76">
        <v>0.91568715323583438</v>
      </c>
      <c r="L76">
        <v>0.16540783090823666</v>
      </c>
      <c r="M76">
        <v>147606.72</v>
      </c>
      <c r="N76">
        <v>66.569999999999993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activeCell="A12" sqref="A12"/>
    </sheetView>
  </sheetViews>
  <sheetFormatPr defaultRowHeight="14.5" x14ac:dyDescent="0.35"/>
  <cols>
    <col min="1" max="1" width="133" bestFit="1" customWidth="1"/>
    <col min="2" max="2" width="12.08984375" bestFit="1" customWidth="1"/>
    <col min="3" max="3" width="21.90625" bestFit="1" customWidth="1"/>
    <col min="4" max="4" width="23.7265625" bestFit="1" customWidth="1"/>
    <col min="5" max="5" width="11.36328125" bestFit="1" customWidth="1"/>
    <col min="6" max="6" width="21.7265625" bestFit="1" customWidth="1"/>
    <col min="7" max="7" width="21.6328125" bestFit="1" customWidth="1"/>
    <col min="8" max="8" width="23.81640625" bestFit="1" customWidth="1"/>
    <col min="9" max="9" width="17.36328125" bestFit="1" customWidth="1"/>
  </cols>
  <sheetData>
    <row r="1" spans="1:9" x14ac:dyDescent="0.35">
      <c r="A1" t="s">
        <v>55</v>
      </c>
    </row>
    <row r="2" spans="1:9" x14ac:dyDescent="0.35">
      <c r="A2" t="s">
        <v>56</v>
      </c>
    </row>
    <row r="4" spans="1:9" x14ac:dyDescent="0.35">
      <c r="A4" s="1" t="s">
        <v>1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</row>
    <row r="5" spans="1:9" x14ac:dyDescent="0.35">
      <c r="A5" t="s">
        <v>2</v>
      </c>
      <c r="B5">
        <f>AVERAGEIFS(Calculated_Metrics!$C:$C,Calculated_Metrics!$A:$A,"Reliance Industries")</f>
        <v>5.9331319824136176E-2</v>
      </c>
      <c r="C5">
        <f>AVERAGEIFS(Calculated_Metrics!$D:$D,Calculated_Metrics!$A:$A,"Reliance Industries")</f>
        <v>0.43842651705427443</v>
      </c>
      <c r="D5">
        <f>AVERAGEIFS(Calculated_Metrics!$G:$G,Calculated_Metrics!$A:$A,"Reliance Industries")</f>
        <v>1.9568263599861186</v>
      </c>
      <c r="E5">
        <f>AVERAGEIFS(Calculated_Metrics!$I:$I,Calculated_Metrics!$A:$A,"Reliance Industries")</f>
        <v>11133.5</v>
      </c>
      <c r="F5">
        <f>AVERAGEIFS(Calculated_Metrics!$J:$J,Calculated_Metrics!$A:$A,"Reliance Industries")</f>
        <v>0.4614655660731275</v>
      </c>
      <c r="G5">
        <f>AVERAGEIFS(Calculated_Metrics!$K:$K,Calculated_Metrics!$A:$A,"Reliance Industries")</f>
        <v>0.59491959296706443</v>
      </c>
      <c r="H5">
        <f>AVERAGEIFS(Calculated_Metrics!$L:$L,Calculated_Metrics!$A:$A,"Reliance Industries")</f>
        <v>0.15829626693003643</v>
      </c>
      <c r="I5">
        <f>AVERAGEIFS(Calculated_Metrics!$N:$N,Calculated_Metrics!$A:$A,"Reliance Industries")</f>
        <v>74.111999999999995</v>
      </c>
    </row>
    <row r="6" spans="1:9" x14ac:dyDescent="0.35">
      <c r="A6" t="s">
        <v>3</v>
      </c>
      <c r="B6">
        <f>AVERAGEIFS(Calculated_Metrics!$C:$C,Calculated_Metrics!$A:$A,"Deepak Nitrite")</f>
        <v>5.7469244093482141E-2</v>
      </c>
      <c r="C6">
        <f>AVERAGEIFS(Calculated_Metrics!$D:$D,Calculated_Metrics!$A:$A,"Deepak Nitrite")</f>
        <v>0.37030295867586771</v>
      </c>
      <c r="D6">
        <f>AVERAGEIFS(Calculated_Metrics!$G:$G,Calculated_Metrics!$A:$A,"Deepak Nitrite")</f>
        <v>2.9412426129555218</v>
      </c>
      <c r="E6">
        <f>AVERAGEIFS(Calculated_Metrics!$I:$I,Calculated_Metrics!$A:$A,"Deepak Nitrite")</f>
        <v>15066.626</v>
      </c>
      <c r="F6">
        <f>AVERAGEIFS(Calculated_Metrics!$J:$J,Calculated_Metrics!$A:$A,"Deepak Nitrite")</f>
        <v>0.37265045531671015</v>
      </c>
      <c r="G6">
        <f>AVERAGEIFS(Calculated_Metrics!$K:$K,Calculated_Metrics!$A:$A,"Deepak Nitrite")</f>
        <v>0.39904959776721338</v>
      </c>
      <c r="H6">
        <f>AVERAGEIFS(Calculated_Metrics!$L:$L,Calculated_Metrics!$A:$A,"Deepak Nitrite")</f>
        <v>0.11187627365150909</v>
      </c>
      <c r="I6">
        <f>AVERAGEIFS(Calculated_Metrics!$N:$N,Calculated_Metrics!$A:$A,"Deepak Nitrite")</f>
        <v>63.444000000000003</v>
      </c>
    </row>
    <row r="7" spans="1:9" x14ac:dyDescent="0.35">
      <c r="A7" t="s">
        <v>4</v>
      </c>
      <c r="B7">
        <f>AVERAGEIFS(Calculated_Metrics!$C:$C,Calculated_Metrics!$A:$A,"Linde India")</f>
        <v>5.5334997131846461E-2</v>
      </c>
      <c r="C7">
        <f>AVERAGEIFS(Calculated_Metrics!$D:$D,Calculated_Metrics!$A:$A,"Linde India")</f>
        <v>0.32577668770782503</v>
      </c>
      <c r="D7">
        <f>AVERAGEIFS(Calculated_Metrics!$G:$G,Calculated_Metrics!$A:$A,"Linde India")</f>
        <v>3.4514053606694808</v>
      </c>
      <c r="E7">
        <f>AVERAGEIFS(Calculated_Metrics!$I:$I,Calculated_Metrics!$A:$A,"Linde India")</f>
        <v>15088.894</v>
      </c>
      <c r="F7">
        <f>AVERAGEIFS(Calculated_Metrics!$J:$J,Calculated_Metrics!$A:$A,"Linde India")</f>
        <v>0.36453959642018352</v>
      </c>
      <c r="G7">
        <f>AVERAGEIFS(Calculated_Metrics!$K:$K,Calculated_Metrics!$A:$A,"Linde India")</f>
        <v>0.49733254577945818</v>
      </c>
      <c r="H7">
        <f>AVERAGEIFS(Calculated_Metrics!$L:$L,Calculated_Metrics!$A:$A,"Linde India")</f>
        <v>0.13653790061383869</v>
      </c>
      <c r="I7">
        <f>AVERAGEIFS(Calculated_Metrics!$N:$N,Calculated_Metrics!$A:$A,"Linde India")</f>
        <v>65.984000000000009</v>
      </c>
    </row>
    <row r="8" spans="1:9" x14ac:dyDescent="0.35">
      <c r="A8" t="s">
        <v>5</v>
      </c>
      <c r="B8">
        <f>AVERAGEIFS(Calculated_Metrics!$C:$C,Calculated_Metrics!$A:$A,"SRF Ltd")</f>
        <v>5.4441602474618808E-2</v>
      </c>
      <c r="C8">
        <f>AVERAGEIFS(Calculated_Metrics!$D:$D,Calculated_Metrics!$A:$A,"SRF Ltd")</f>
        <v>0.26024178830209771</v>
      </c>
      <c r="D8">
        <f>AVERAGEIFS(Calculated_Metrics!$G:$G,Calculated_Metrics!$A:$A,"SRF Ltd")</f>
        <v>2.2797602965784431</v>
      </c>
      <c r="E8">
        <f>AVERAGEIFS(Calculated_Metrics!$I:$I,Calculated_Metrics!$A:$A,"SRF Ltd")</f>
        <v>13038.272000000001</v>
      </c>
      <c r="F8">
        <f>AVERAGEIFS(Calculated_Metrics!$J:$J,Calculated_Metrics!$A:$A,"SRF Ltd")</f>
        <v>0.51172702751240184</v>
      </c>
      <c r="G8">
        <f>AVERAGEIFS(Calculated_Metrics!$K:$K,Calculated_Metrics!$A:$A,"SRF Ltd")</f>
        <v>0.49090200788206018</v>
      </c>
      <c r="H8">
        <f>AVERAGEIFS(Calculated_Metrics!$L:$L,Calculated_Metrics!$A:$A,"SRF Ltd")</f>
        <v>0.12965140970147337</v>
      </c>
      <c r="I8">
        <f>AVERAGEIFS(Calculated_Metrics!$N:$N,Calculated_Metrics!$A:$A,"SRF Ltd")</f>
        <v>55.379999999999995</v>
      </c>
    </row>
    <row r="9" spans="1:9" x14ac:dyDescent="0.35">
      <c r="A9" t="s">
        <v>6</v>
      </c>
      <c r="B9">
        <f>AVERAGEIFS(Calculated_Metrics!$C:$C,Calculated_Metrics!$A:$A,"Gujarat Fluorochemicals")</f>
        <v>0.10282784753165446</v>
      </c>
      <c r="C9">
        <f>AVERAGEIFS(Calculated_Metrics!$D:$D,Calculated_Metrics!$A:$A,"Gujarat Fluorochemicals")</f>
        <v>0.53190690348959269</v>
      </c>
      <c r="D9">
        <f>AVERAGEIFS(Calculated_Metrics!$G:$G,Calculated_Metrics!$A:$A,"Gujarat Fluorochemicals")</f>
        <v>2.0182772319087925</v>
      </c>
      <c r="E9">
        <f>AVERAGEIFS(Calculated_Metrics!$I:$I,Calculated_Metrics!$A:$A,"Gujarat Fluorochemicals")</f>
        <v>7159.2800000000007</v>
      </c>
      <c r="F9">
        <f>AVERAGEIFS(Calculated_Metrics!$J:$J,Calculated_Metrics!$A:$A,"Gujarat Fluorochemicals")</f>
        <v>0.43882822925152476</v>
      </c>
      <c r="G9">
        <f>AVERAGEIFS(Calculated_Metrics!$K:$K,Calculated_Metrics!$A:$A,"Gujarat Fluorochemicals")</f>
        <v>0.37757094324014318</v>
      </c>
      <c r="H9">
        <f>AVERAGEIFS(Calculated_Metrics!$L:$L,Calculated_Metrics!$A:$A,"Gujarat Fluorochemicals")</f>
        <v>0.1582845343182509</v>
      </c>
      <c r="I9">
        <f>AVERAGEIFS(Calculated_Metrics!$N:$N,Calculated_Metrics!$A:$A,"Gujarat Fluorochemicals")</f>
        <v>73.474000000000004</v>
      </c>
    </row>
    <row r="10" spans="1:9" x14ac:dyDescent="0.35">
      <c r="A10" t="s">
        <v>7</v>
      </c>
      <c r="B10">
        <f>AVERAGEIFS(Calculated_Metrics!$C:$C,Calculated_Metrics!$A:$A,"NTPC")</f>
        <v>6.9835199166557144E-2</v>
      </c>
      <c r="C10">
        <f>AVERAGEIFS(Calculated_Metrics!$D:$D,Calculated_Metrics!$A:$A,"NTPC")</f>
        <v>0.59441000206165795</v>
      </c>
      <c r="D10">
        <f>AVERAGEIFS(Calculated_Metrics!$G:$G,Calculated_Metrics!$A:$A,"NTPC")</f>
        <v>3.5816904699901984</v>
      </c>
      <c r="E10">
        <f>AVERAGEIFS(Calculated_Metrics!$I:$I,Calculated_Metrics!$A:$A,"NTPC")</f>
        <v>19241.955999999998</v>
      </c>
      <c r="F10">
        <f>AVERAGEIFS(Calculated_Metrics!$J:$J,Calculated_Metrics!$A:$A,"NTPC")</f>
        <v>0.26165592390154285</v>
      </c>
      <c r="G10">
        <f>AVERAGEIFS(Calculated_Metrics!$K:$K,Calculated_Metrics!$A:$A,"NTPC")</f>
        <v>0.40079523303887077</v>
      </c>
      <c r="H10">
        <f>AVERAGEIFS(Calculated_Metrics!$L:$L,Calculated_Metrics!$A:$A,"NTPC")</f>
        <v>0.17276995305356629</v>
      </c>
      <c r="I10">
        <f>AVERAGEIFS(Calculated_Metrics!$N:$N,Calculated_Metrics!$A:$A,"NTPC")</f>
        <v>61.896000000000001</v>
      </c>
    </row>
    <row r="11" spans="1:9" x14ac:dyDescent="0.35">
      <c r="A11" t="s">
        <v>8</v>
      </c>
      <c r="B11">
        <f>AVERAGEIFS(Calculated_Metrics!$C:$C,Calculated_Metrics!$A:$A,"Tata Power")</f>
        <v>5.8946586305756311E-2</v>
      </c>
      <c r="C11">
        <f>AVERAGEIFS(Calculated_Metrics!$D:$D,Calculated_Metrics!$A:$A,"Tata Power")</f>
        <v>0.35527510283009356</v>
      </c>
      <c r="D11">
        <f>AVERAGEIFS(Calculated_Metrics!$G:$G,Calculated_Metrics!$A:$A,"Tata Power")</f>
        <v>2.687998264469043</v>
      </c>
      <c r="E11">
        <f>AVERAGEIFS(Calculated_Metrics!$I:$I,Calculated_Metrics!$A:$A,"Tata Power")</f>
        <v>16795.288</v>
      </c>
      <c r="F11">
        <f>AVERAGEIFS(Calculated_Metrics!$J:$J,Calculated_Metrics!$A:$A,"Tata Power")</f>
        <v>0.46426301454309921</v>
      </c>
      <c r="G11">
        <f>AVERAGEIFS(Calculated_Metrics!$K:$K,Calculated_Metrics!$A:$A,"Tata Power")</f>
        <v>0.5740366831283138</v>
      </c>
      <c r="H11">
        <f>AVERAGEIFS(Calculated_Metrics!$L:$L,Calculated_Metrics!$A:$A,"Tata Power")</f>
        <v>0.12442295859341175</v>
      </c>
      <c r="I11">
        <f>AVERAGEIFS(Calculated_Metrics!$N:$N,Calculated_Metrics!$A:$A,"Tata Power")</f>
        <v>49.749999999999993</v>
      </c>
    </row>
    <row r="12" spans="1:9" x14ac:dyDescent="0.35">
      <c r="A12" t="s">
        <v>9</v>
      </c>
      <c r="B12">
        <f>AVERAGEIFS(Calculated_Metrics!$C:$C,Calculated_Metrics!$A:$A,"Adani Green")</f>
        <v>6.6289694996597703E-2</v>
      </c>
      <c r="C12">
        <f>AVERAGEIFS(Calculated_Metrics!$D:$D,Calculated_Metrics!$A:$A,"Adani Green")</f>
        <v>0.46667787669378552</v>
      </c>
      <c r="D12">
        <f>AVERAGEIFS(Calculated_Metrics!$G:$G,Calculated_Metrics!$A:$A,"Adani Green")</f>
        <v>2.8539106645967456</v>
      </c>
      <c r="E12">
        <f>AVERAGEIFS(Calculated_Metrics!$I:$I,Calculated_Metrics!$A:$A,"Adani Green")</f>
        <v>21395.765999999996</v>
      </c>
      <c r="F12">
        <f>AVERAGEIFS(Calculated_Metrics!$J:$J,Calculated_Metrics!$A:$A,"Adani Green")</f>
        <v>0.39807884124754417</v>
      </c>
      <c r="G12">
        <f>AVERAGEIFS(Calculated_Metrics!$K:$K,Calculated_Metrics!$A:$A,"Adani Green")</f>
        <v>0.45545763239816289</v>
      </c>
      <c r="H12">
        <f>AVERAGEIFS(Calculated_Metrics!$L:$L,Calculated_Metrics!$A:$A,"Adani Green")</f>
        <v>0.23728834741289662</v>
      </c>
      <c r="I12">
        <f>AVERAGEIFS(Calculated_Metrics!$N:$N,Calculated_Metrics!$A:$A,"Adani Green")</f>
        <v>66.225999999999999</v>
      </c>
    </row>
    <row r="13" spans="1:9" x14ac:dyDescent="0.35">
      <c r="A13" t="s">
        <v>10</v>
      </c>
      <c r="B13">
        <f>AVERAGEIFS(Calculated_Metrics!$C:$C,Calculated_Metrics!$A:$A,"Power Grid")</f>
        <v>5.3917748877691449E-2</v>
      </c>
      <c r="C13">
        <f>AVERAGEIFS(Calculated_Metrics!$D:$D,Calculated_Metrics!$A:$A,"Power Grid")</f>
        <v>0.44218889538301787</v>
      </c>
      <c r="D13">
        <f>AVERAGEIFS(Calculated_Metrics!$G:$G,Calculated_Metrics!$A:$A,"Power Grid")</f>
        <v>2.8893343088329457</v>
      </c>
      <c r="E13">
        <f>AVERAGEIFS(Calculated_Metrics!$I:$I,Calculated_Metrics!$A:$A,"Power Grid")</f>
        <v>17121.136000000002</v>
      </c>
      <c r="F13">
        <f>AVERAGEIFS(Calculated_Metrics!$J:$J,Calculated_Metrics!$A:$A,"Power Grid")</f>
        <v>0.23927445307479248</v>
      </c>
      <c r="G13">
        <f>AVERAGEIFS(Calculated_Metrics!$K:$K,Calculated_Metrics!$A:$A,"Power Grid")</f>
        <v>0.60410074962784088</v>
      </c>
      <c r="H13">
        <f>AVERAGEIFS(Calculated_Metrics!$L:$L,Calculated_Metrics!$A:$A,"Power Grid")</f>
        <v>0.15823660631792136</v>
      </c>
      <c r="I13">
        <f>AVERAGEIFS(Calculated_Metrics!$N:$N,Calculated_Metrics!$A:$A,"Power Grid")</f>
        <v>60.948</v>
      </c>
    </row>
    <row r="14" spans="1:9" x14ac:dyDescent="0.35">
      <c r="A14" t="s">
        <v>11</v>
      </c>
      <c r="B14">
        <f>AVERAGEIFS(Calculated_Metrics!$C:$C,Calculated_Metrics!$A:$A,"Indian Oil")</f>
        <v>5.0169737007128359E-2</v>
      </c>
      <c r="C14">
        <f>AVERAGEIFS(Calculated_Metrics!$D:$D,Calculated_Metrics!$A:$A,"Indian Oil")</f>
        <v>0.40580119805954029</v>
      </c>
      <c r="D14">
        <f>AVERAGEIFS(Calculated_Metrics!$G:$G,Calculated_Metrics!$A:$A,"Indian Oil")</f>
        <v>2.741664028874756</v>
      </c>
      <c r="E14">
        <f>AVERAGEIFS(Calculated_Metrics!$I:$I,Calculated_Metrics!$A:$A,"Indian Oil")</f>
        <v>13204.854000000001</v>
      </c>
      <c r="F14">
        <f>AVERAGEIFS(Calculated_Metrics!$J:$J,Calculated_Metrics!$A:$A,"Indian Oil")</f>
        <v>0.37980157836062672</v>
      </c>
      <c r="G14">
        <f>AVERAGEIFS(Calculated_Metrics!$K:$K,Calculated_Metrics!$A:$A,"Indian Oil")</f>
        <v>0.45796745281693385</v>
      </c>
      <c r="H14">
        <f>AVERAGEIFS(Calculated_Metrics!$L:$L,Calculated_Metrics!$A:$A,"Indian Oil")</f>
        <v>0.11898481003190006</v>
      </c>
      <c r="I14">
        <f>AVERAGEIFS(Calculated_Metrics!$N:$N,Calculated_Metrics!$A:$A,"Indian Oil")</f>
        <v>61.840000000000011</v>
      </c>
    </row>
    <row r="15" spans="1:9" x14ac:dyDescent="0.35">
      <c r="A15" t="s">
        <v>12</v>
      </c>
      <c r="B15">
        <f>AVERAGEIFS(Calculated_Metrics!$C:$C,Calculated_Metrics!$A:$A,"Hindustan Zinc")</f>
        <v>7.2439123354266624E-2</v>
      </c>
      <c r="C15">
        <f>AVERAGEIFS(Calculated_Metrics!$D:$D,Calculated_Metrics!$A:$A,"Hindustan Zinc")</f>
        <v>0.51379332537373446</v>
      </c>
      <c r="D15">
        <f>AVERAGEIFS(Calculated_Metrics!$G:$G,Calculated_Metrics!$A:$A,"Hindustan Zinc")</f>
        <v>3.0756990120322256</v>
      </c>
      <c r="E15">
        <f>AVERAGEIFS(Calculated_Metrics!$I:$I,Calculated_Metrics!$A:$A,"Hindustan Zinc")</f>
        <v>17557.655999999999</v>
      </c>
      <c r="F15">
        <f>AVERAGEIFS(Calculated_Metrics!$J:$J,Calculated_Metrics!$A:$A,"Hindustan Zinc")</f>
        <v>0.28643447430146124</v>
      </c>
      <c r="G15">
        <f>AVERAGEIFS(Calculated_Metrics!$K:$K,Calculated_Metrics!$A:$A,"Hindustan Zinc")</f>
        <v>0.83659603472578925</v>
      </c>
      <c r="H15">
        <f>AVERAGEIFS(Calculated_Metrics!$L:$L,Calculated_Metrics!$A:$A,"Hindustan Zinc")</f>
        <v>0.1585200931839672</v>
      </c>
      <c r="I15">
        <f>AVERAGEIFS(Calculated_Metrics!$N:$N,Calculated_Metrics!$A:$A,"Hindustan Zinc")</f>
        <v>63.910000000000004</v>
      </c>
    </row>
    <row r="16" spans="1:9" x14ac:dyDescent="0.35">
      <c r="A16" t="s">
        <v>13</v>
      </c>
      <c r="B16">
        <f>AVERAGEIFS(Calculated_Metrics!$C:$C,Calculated_Metrics!$A:$A,"NMDC")</f>
        <v>5.6277534340565684E-2</v>
      </c>
      <c r="C16">
        <f>AVERAGEIFS(Calculated_Metrics!$D:$D,Calculated_Metrics!$A:$A,"NMDC")</f>
        <v>0.27924531612671494</v>
      </c>
      <c r="D16">
        <f>AVERAGEIFS(Calculated_Metrics!$G:$G,Calculated_Metrics!$A:$A,"NMDC")</f>
        <v>2.8090067168671848</v>
      </c>
      <c r="E16">
        <f>AVERAGEIFS(Calculated_Metrics!$I:$I,Calculated_Metrics!$A:$A,"NMDC")</f>
        <v>11487.073999999999</v>
      </c>
      <c r="F16">
        <f>AVERAGEIFS(Calculated_Metrics!$J:$J,Calculated_Metrics!$A:$A,"NMDC")</f>
        <v>0.48445600501334074</v>
      </c>
      <c r="G16">
        <f>AVERAGEIFS(Calculated_Metrics!$K:$K,Calculated_Metrics!$A:$A,"NMDC")</f>
        <v>0.32191317462188618</v>
      </c>
      <c r="H16">
        <f>AVERAGEIFS(Calculated_Metrics!$L:$L,Calculated_Metrics!$A:$A,"NMDC")</f>
        <v>0.14926876768133068</v>
      </c>
      <c r="I16">
        <f>AVERAGEIFS(Calculated_Metrics!$N:$N,Calculated_Metrics!$A:$A,"NMDC")</f>
        <v>65.161999999999992</v>
      </c>
    </row>
    <row r="17" spans="1:9" x14ac:dyDescent="0.35">
      <c r="A17" t="s">
        <v>14</v>
      </c>
      <c r="B17">
        <f>AVERAGEIFS(Calculated_Metrics!$C:$C,Calculated_Metrics!$A:$A,"Coal India")</f>
        <v>5.7265707887934073E-2</v>
      </c>
      <c r="C17">
        <f>AVERAGEIFS(Calculated_Metrics!$D:$D,Calculated_Metrics!$A:$A,"Coal India")</f>
        <v>0.24041778477401832</v>
      </c>
      <c r="D17">
        <f>AVERAGEIFS(Calculated_Metrics!$G:$G,Calculated_Metrics!$A:$A,"Coal India")</f>
        <v>3.0494033993029488</v>
      </c>
      <c r="E17">
        <f>AVERAGEIFS(Calculated_Metrics!$I:$I,Calculated_Metrics!$A:$A,"Coal India")</f>
        <v>17559.140000000003</v>
      </c>
      <c r="F17">
        <f>AVERAGEIFS(Calculated_Metrics!$J:$J,Calculated_Metrics!$A:$A,"Coal India")</f>
        <v>0.54397831477371916</v>
      </c>
      <c r="G17">
        <f>AVERAGEIFS(Calculated_Metrics!$K:$K,Calculated_Metrics!$A:$A,"Coal India")</f>
        <v>0.54598037056844306</v>
      </c>
      <c r="H17">
        <f>AVERAGEIFS(Calculated_Metrics!$L:$L,Calculated_Metrics!$A:$A,"Coal India")</f>
        <v>0.18019774835677213</v>
      </c>
      <c r="I17">
        <f>AVERAGEIFS(Calculated_Metrics!$N:$N,Calculated_Metrics!$A:$A,"Coal India")</f>
        <v>69.745999999999995</v>
      </c>
    </row>
    <row r="18" spans="1:9" x14ac:dyDescent="0.35">
      <c r="A18" t="s">
        <v>15</v>
      </c>
      <c r="B18">
        <f>AVERAGEIFS(Calculated_Metrics!$C:$C,Calculated_Metrics!$A:$A,"Tata Steel (Mining)")</f>
        <v>4.6842272509912082E-2</v>
      </c>
      <c r="C18">
        <f>AVERAGEIFS(Calculated_Metrics!$D:$D,Calculated_Metrics!$A:$A,"Tata Steel (Mining)")</f>
        <v>0.35429374624250187</v>
      </c>
      <c r="D18">
        <f>AVERAGEIFS(Calculated_Metrics!$G:$G,Calculated_Metrics!$A:$A,"Tata Steel (Mining)")</f>
        <v>2.7529186518048365</v>
      </c>
      <c r="E18">
        <f>AVERAGEIFS(Calculated_Metrics!$I:$I,Calculated_Metrics!$A:$A,"Tata Steel (Mining)")</f>
        <v>14886.724000000002</v>
      </c>
      <c r="F18">
        <f>AVERAGEIFS(Calculated_Metrics!$J:$J,Calculated_Metrics!$A:$A,"Tata Steel (Mining)")</f>
        <v>0.33101683495019596</v>
      </c>
      <c r="G18">
        <f>AVERAGEIFS(Calculated_Metrics!$K:$K,Calculated_Metrics!$A:$A,"Tata Steel (Mining)")</f>
        <v>0.55621403348437326</v>
      </c>
      <c r="H18">
        <f>AVERAGEIFS(Calculated_Metrics!$L:$L,Calculated_Metrics!$A:$A,"Tata Steel (Mining)")</f>
        <v>8.7704468343222874E-2</v>
      </c>
      <c r="I18">
        <f>AVERAGEIFS(Calculated_Metrics!$N:$N,Calculated_Metrics!$A:$A,"Tata Steel (Mining)")</f>
        <v>62.326000000000001</v>
      </c>
    </row>
    <row r="19" spans="1:9" x14ac:dyDescent="0.35">
      <c r="A19" t="s">
        <v>16</v>
      </c>
      <c r="B19">
        <f>AVERAGEIFS(Calculated_Metrics!$C:$C,Calculated_Metrics!$A:$A,"MOIL")</f>
        <v>5.0003175619199133E-2</v>
      </c>
      <c r="C19">
        <f>AVERAGEIFS(Calculated_Metrics!$D:$D,Calculated_Metrics!$A:$A,"MOIL")</f>
        <v>0.45996666372768813</v>
      </c>
      <c r="D19">
        <f>AVERAGEIFS(Calculated_Metrics!$G:$G,Calculated_Metrics!$A:$A,"MOIL")</f>
        <v>2.8382058564242971</v>
      </c>
      <c r="E19">
        <f>AVERAGEIFS(Calculated_Metrics!$I:$I,Calculated_Metrics!$A:$A,"MOIL")</f>
        <v>15902.666000000001</v>
      </c>
      <c r="F19">
        <f>AVERAGEIFS(Calculated_Metrics!$J:$J,Calculated_Metrics!$A:$A,"MOIL")</f>
        <v>0.46426488375070668</v>
      </c>
      <c r="G19">
        <f>AVERAGEIFS(Calculated_Metrics!$K:$K,Calculated_Metrics!$A:$A,"MOIL")</f>
        <v>0.57049345511763028</v>
      </c>
      <c r="H19">
        <f>AVERAGEIFS(Calculated_Metrics!$L:$L,Calculated_Metrics!$A:$A,"MOIL")</f>
        <v>0.16079967239409726</v>
      </c>
      <c r="I19">
        <f>AVERAGEIFS(Calculated_Metrics!$N:$N,Calculated_Metrics!$A:$A,"MOIL")</f>
        <v>53.981999999999992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Companies</vt:lpstr>
      <vt:lpstr>Raw_Financials</vt:lpstr>
      <vt:lpstr>Raw_ESG</vt:lpstr>
      <vt:lpstr>Calculated_Metrics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Debayan Nag (IN)</cp:lastModifiedBy>
  <dcterms:created xsi:type="dcterms:W3CDTF">2025-11-24T16:56:46Z</dcterms:created>
  <dcterms:modified xsi:type="dcterms:W3CDTF">2026-03-15T17:28:01Z</dcterms:modified>
</cp:coreProperties>
</file>